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24-Month Projections" sheetId="2" state="visible" r:id="rId2"/>
    <sheet name="Annual Summary" sheetId="3" state="visible" r:id="rId3"/>
    <sheet name="Scenario Notes" sheetId="4" state="visible" r:id="rId4"/>
    <sheet name="Per-Charm Costs" sheetId="5" state="visible" r:id="rId5"/>
    <sheet name="Revenue Recogn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0.0%"/>
    <numFmt numFmtId="166" formatCode="$#,##0.0000"/>
    <numFmt numFmtId="167" formatCode="$#,##0.000000"/>
    <numFmt numFmtId="168" formatCode="$#,##0"/>
    <numFmt numFmtId="169" formatCode="#,##0.0"/>
    <numFmt numFmtId="170" formatCode="#,##0.000000"/>
  </numFmts>
  <fonts count="10">
    <font>
      <name val="Calibri"/>
      <family val="2"/>
      <color theme="1"/>
      <sz val="11"/>
      <scheme val="minor"/>
    </font>
    <font>
      <name val="Calibri"/>
      <b val="1"/>
      <color rgb="001B2A4A"/>
      <sz val="16"/>
    </font>
    <font>
      <name val="Calibri"/>
      <i val="1"/>
      <color rgb="00666666"/>
      <sz val="10"/>
    </font>
    <font>
      <name val="Calibri"/>
      <b val="1"/>
      <color rgb="001B2A4A"/>
      <sz val="13"/>
    </font>
    <font>
      <name val="Calibri"/>
      <b val="1"/>
      <color rgb="00FFFFFF"/>
      <sz val="12"/>
    </font>
    <font>
      <name val="Calibri"/>
      <sz val="11"/>
    </font>
    <font>
      <name val="Calibri"/>
      <b val="1"/>
      <sz val="11"/>
    </font>
    <font>
      <name val="Calibri"/>
      <i val="1"/>
      <color rgb="00888888"/>
      <sz val="9"/>
    </font>
    <font>
      <name val="Calibri"/>
      <b val="1"/>
      <color rgb="001B2A4A"/>
      <sz val="12"/>
    </font>
    <font>
      <name val="Calibri"/>
      <b val="1"/>
      <color rgb="002E4057"/>
      <sz val="11"/>
    </font>
  </fonts>
  <fills count="8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DAEEF3"/>
        <bgColor rgb="00DAEE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1" pivotButton="0" quotePrefix="0" xfId="0"/>
    <xf numFmtId="164" fontId="6" fillId="3" borderId="1" pivotButton="0" quotePrefix="0" xfId="0"/>
    <xf numFmtId="164" fontId="6" fillId="0" borderId="1" pivotButton="0" quotePrefix="0" xfId="0"/>
    <xf numFmtId="3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4" fontId="5" fillId="0" borderId="1" pivotButton="0" quotePrefix="0" xfId="0"/>
    <xf numFmtId="0" fontId="6" fillId="0" borderId="1" pivotButton="0" quotePrefix="0" xfId="0"/>
    <xf numFmtId="165" fontId="6" fillId="0" borderId="1" pivotButton="0" quotePrefix="0" xfId="0"/>
    <xf numFmtId="4" fontId="6" fillId="0" borderId="1" pivotButton="0" quotePrefix="0" xfId="0"/>
    <xf numFmtId="166" fontId="6" fillId="3" borderId="1" pivotButton="0" quotePrefix="0" xfId="0"/>
    <xf numFmtId="167" fontId="6" fillId="3" borderId="1" pivotButton="0" quotePrefix="0" xfId="0"/>
    <xf numFmtId="168" fontId="6" fillId="3" borderId="1" pivotButton="0" quotePrefix="0" xfId="0"/>
    <xf numFmtId="0" fontId="4" fillId="2" borderId="0" pivotButton="0" quotePrefix="0" xfId="0"/>
    <xf numFmtId="3" fontId="5" fillId="0" borderId="1" pivotButton="0" quotePrefix="0" xfId="0"/>
    <xf numFmtId="0" fontId="6" fillId="4" borderId="1" pivotButton="0" quotePrefix="0" xfId="0"/>
    <xf numFmtId="3" fontId="6" fillId="4" borderId="1" pivotButton="0" quotePrefix="0" xfId="0"/>
    <xf numFmtId="0" fontId="7" fillId="0" borderId="1" pivotButton="0" quotePrefix="0" xfId="0"/>
    <xf numFmtId="169" fontId="6" fillId="0" borderId="1" pivotButton="0" quotePrefix="0" xfId="0"/>
    <xf numFmtId="169" fontId="5" fillId="0" borderId="1" pivotButton="0" quotePrefix="0" xfId="0"/>
    <xf numFmtId="3" fontId="6" fillId="0" borderId="1" pivotButton="0" quotePrefix="0" xfId="0"/>
    <xf numFmtId="164" fontId="5" fillId="0" borderId="1" pivotButton="0" quotePrefix="0" xfId="0"/>
    <xf numFmtId="0" fontId="6" fillId="5" borderId="1" pivotButton="0" quotePrefix="0" xfId="0"/>
    <xf numFmtId="164" fontId="6" fillId="5" borderId="1" pivotButton="0" quotePrefix="0" xfId="0"/>
    <xf numFmtId="168" fontId="5" fillId="0" borderId="1" pivotButton="0" quotePrefix="0" xfId="0"/>
    <xf numFmtId="0" fontId="6" fillId="6" borderId="1" pivotButton="0" quotePrefix="0" xfId="0"/>
    <xf numFmtId="168" fontId="6" fillId="6" borderId="1" pivotButton="0" quotePrefix="0" xfId="0"/>
    <xf numFmtId="168" fontId="6" fillId="5" borderId="1" pivotButton="0" quotePrefix="0" xfId="0"/>
    <xf numFmtId="0" fontId="8" fillId="6" borderId="1" pivotButton="0" quotePrefix="0" xfId="0"/>
    <xf numFmtId="168" fontId="8" fillId="6" borderId="1" pivotButton="0" quotePrefix="0" xfId="0"/>
    <xf numFmtId="168" fontId="6" fillId="0" borderId="1" pivotButton="0" quotePrefix="0" xfId="0"/>
    <xf numFmtId="166" fontId="5" fillId="0" borderId="1" pivotButton="0" quotePrefix="0" xfId="0"/>
    <xf numFmtId="0" fontId="6" fillId="0" borderId="1" applyAlignment="1" pivotButton="0" quotePrefix="0" xfId="0">
      <alignment horizontal="center"/>
    </xf>
    <xf numFmtId="165" fontId="5" fillId="0" borderId="1" pivotButton="0" quotePrefix="0" xfId="0"/>
    <xf numFmtId="0" fontId="5" fillId="5" borderId="1" pivotButton="0" quotePrefix="0" xfId="0"/>
    <xf numFmtId="168" fontId="5" fillId="5" borderId="1" pivotButton="0" quotePrefix="0" xfId="0"/>
    <xf numFmtId="0" fontId="5" fillId="0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5" fillId="0" borderId="0" pivotButton="0" quotePrefix="0" xfId="0"/>
    <xf numFmtId="170" fontId="5" fillId="0" borderId="1" pivotButton="0" quotePrefix="0" xfId="0"/>
    <xf numFmtId="167" fontId="5" fillId="0" borderId="1" pivotButton="0" quotePrefix="0" xfId="0"/>
    <xf numFmtId="166" fontId="6" fillId="5" borderId="1" pivotButton="0" quotePrefix="0" xfId="0"/>
    <xf numFmtId="0" fontId="0" fillId="5" borderId="0" pivotButton="0" quotePrefix="0" xfId="0"/>
    <xf numFmtId="0" fontId="9" fillId="4" borderId="1" pivotButton="0" quotePrefix="0" xfId="0"/>
    <xf numFmtId="0" fontId="0" fillId="4" borderId="0" pivotButton="0" quotePrefix="0" xfId="0"/>
    <xf numFmtId="167" fontId="6" fillId="0" borderId="1" pivotButton="0" quotePrefix="0" xfId="0"/>
    <xf numFmtId="0" fontId="3" fillId="5" borderId="1" pivotButton="0" quotePrefix="0" xfId="0"/>
    <xf numFmtId="166" fontId="3" fillId="5" borderId="1" pivotButton="0" quotePrefix="0" xfId="0"/>
    <xf numFmtId="166" fontId="6" fillId="0" borderId="1" pivotButton="0" quotePrefix="0" xfId="0"/>
    <xf numFmtId="165" fontId="6" fillId="5" borderId="1" pivotButton="0" quotePrefix="0" xfId="0"/>
    <xf numFmtId="167" fontId="5" fillId="6" borderId="1" pivotButton="0" quotePrefix="0" xfId="0"/>
    <xf numFmtId="166" fontId="6" fillId="6" borderId="1" pivotButton="0" quotePrefix="0" xfId="0"/>
    <xf numFmtId="0" fontId="6" fillId="3" borderId="1" pivotButton="0" quotePrefix="0" xfId="0"/>
    <xf numFmtId="0" fontId="6" fillId="7" borderId="1" pivotButton="0" quotePrefix="0" xfId="0"/>
    <xf numFmtId="166" fontId="6" fillId="7" borderId="1" pivotButton="0" quotePrefix="0" xfId="0"/>
    <xf numFmtId="168" fontId="6" fillId="7" borderId="1" pivotButton="0" quotePrefix="0" xfId="0"/>
    <xf numFmtId="0" fontId="0" fillId="3" borderId="0" pivotButton="0" quotePrefix="0" xfId="0"/>
    <xf numFmtId="0" fontId="7" fillId="3" borderId="0" pivotButton="0" quotePrefix="0" xfId="0"/>
    <xf numFmtId="0" fontId="0" fillId="7" borderId="0" pivotButton="0" quotePrefix="0" xfId="0"/>
    <xf numFmtId="165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B1:G103"/>
  <sheetViews>
    <sheetView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s="1" t="inlineStr">
        <is>
          <t>MemoryCharm Financial Model — Assumptions</t>
        </is>
      </c>
    </row>
    <row r="2">
      <c r="B2" s="2" t="inlineStr">
        <is>
          <t>Yellow cells are editable — change them to see impact on Projections &amp; Summary sheets</t>
        </is>
      </c>
    </row>
    <row r="4">
      <c r="B4" s="3" t="inlineStr">
        <is>
          <t>CHARM PRICING (Retail to Consumer)</t>
        </is>
      </c>
    </row>
    <row r="5">
      <c r="B5" s="4" t="inlineStr">
        <is>
          <t>Tier</t>
        </is>
      </c>
      <c r="C5" s="4" t="inlineStr">
        <is>
          <t>Unit Price</t>
        </is>
      </c>
      <c r="D5" s="4" t="inlineStr">
        <is>
          <t>COGS / Unit</t>
        </is>
      </c>
      <c r="E5" s="4" t="inlineStr">
        <is>
          <t>Gross Margin</t>
        </is>
      </c>
    </row>
    <row r="6">
      <c r="B6" s="5" t="inlineStr">
        <is>
          <t>10-Year Charm</t>
        </is>
      </c>
      <c r="C6" s="6" t="n">
        <v>29.99</v>
      </c>
      <c r="D6" s="6" t="n">
        <v>8.5</v>
      </c>
      <c r="E6" s="7">
        <f>C6-D6</f>
        <v/>
      </c>
    </row>
    <row r="7">
      <c r="B7" s="5" t="inlineStr">
        <is>
          <t>15-Year Charm</t>
        </is>
      </c>
      <c r="C7" s="6" t="n">
        <v>44.99</v>
      </c>
      <c r="D7" s="6" t="n">
        <v>8.5</v>
      </c>
      <c r="G7" s="7">
        <f>C7-D7</f>
        <v/>
      </c>
    </row>
    <row r="8">
      <c r="B8" s="5" t="inlineStr">
        <is>
          <t>Retail (Perpetual) Charm</t>
        </is>
      </c>
      <c r="C8" s="6" t="n">
        <v>69.98999999999999</v>
      </c>
      <c r="D8" s="6" t="n">
        <v>9</v>
      </c>
      <c r="E8" s="7">
        <f>C8-D8</f>
        <v/>
      </c>
    </row>
    <row r="10">
      <c r="B10" s="3" t="inlineStr">
        <is>
          <t>UPSELL / ADD-ON PRICING</t>
        </is>
      </c>
    </row>
    <row r="11">
      <c r="B11" s="4" t="inlineStr">
        <is>
          <t>Product</t>
        </is>
      </c>
      <c r="C11" s="4" t="inlineStr">
        <is>
          <t>Price</t>
        </is>
      </c>
      <c r="D11" s="4" t="inlineStr">
        <is>
          <t>Cost</t>
        </is>
      </c>
      <c r="E11" s="4" t="inlineStr">
        <is>
          <t>Margin</t>
        </is>
      </c>
    </row>
    <row r="12">
      <c r="B12" s="5" t="inlineStr">
        <is>
          <t>Extend Memory (+5 years)</t>
        </is>
      </c>
      <c r="C12" s="6" t="n">
        <v>14.99</v>
      </c>
      <c r="D12" s="6" t="n">
        <v>1</v>
      </c>
      <c r="E12" s="7">
        <f>C12-D12</f>
        <v/>
      </c>
    </row>
    <row r="13">
      <c r="B13" s="5" t="inlineStr">
        <is>
          <t>Upgrade Tier (avg revenue per upgrade)</t>
        </is>
      </c>
      <c r="C13" s="6" t="n">
        <v>19.99</v>
      </c>
      <c r="D13" s="6" t="n">
        <v>0.5</v>
      </c>
      <c r="E13" s="7">
        <f>C13-D13</f>
        <v/>
      </c>
    </row>
    <row r="14">
      <c r="B14" s="5" t="inlineStr">
        <is>
          <t>Gift Wrap</t>
        </is>
      </c>
      <c r="C14" s="6" t="n">
        <v>4.99</v>
      </c>
      <c r="D14" s="6" t="n">
        <v>1.5</v>
      </c>
      <c r="E14" s="7">
        <f>C14-D14</f>
        <v/>
      </c>
    </row>
    <row r="16">
      <c r="B16" s="3" t="inlineStr">
        <is>
          <t>MONTHLY UNIT SALES (Starting Month 1)</t>
        </is>
      </c>
    </row>
    <row r="17">
      <c r="B17" s="4" t="inlineStr">
        <is>
          <t>Item</t>
        </is>
      </c>
      <c r="C17" s="4" t="inlineStr">
        <is>
          <t>Units / Month</t>
        </is>
      </c>
      <c r="D17" s="4" t="inlineStr">
        <is>
          <t>MoM Growth %</t>
        </is>
      </c>
    </row>
    <row r="18">
      <c r="B18" s="5" t="inlineStr">
        <is>
          <t>10-Year Charms</t>
        </is>
      </c>
      <c r="C18" s="8" t="n">
        <v>100</v>
      </c>
      <c r="D18" s="9" t="n">
        <v>0.08</v>
      </c>
    </row>
    <row r="19">
      <c r="B19" s="5" t="inlineStr">
        <is>
          <t>15-Year Charms</t>
        </is>
      </c>
      <c r="C19" s="8" t="n">
        <v>40</v>
      </c>
      <c r="D19" s="9" t="n">
        <v>0.1</v>
      </c>
    </row>
    <row r="20">
      <c r="B20" s="5" t="inlineStr">
        <is>
          <t>Retail (Perpetual) Charms</t>
        </is>
      </c>
      <c r="C20" s="8" t="n">
        <v>15</v>
      </c>
      <c r="D20" s="9" t="n">
        <v>0.12</v>
      </c>
    </row>
    <row r="22">
      <c r="B22" s="3" t="inlineStr">
        <is>
          <t>UPSELL ATTACH RATES</t>
        </is>
      </c>
    </row>
    <row r="23">
      <c r="B23" s="5" t="inlineStr">
        <is>
          <t>Extend Memory (monthly % of cumulative base)</t>
        </is>
      </c>
      <c r="C23" s="9" t="n">
        <v>0.02</v>
      </c>
      <c r="D23" s="10" t="inlineStr">
        <is>
          <t>Applied to cumulative charms sold</t>
        </is>
      </c>
    </row>
    <row r="24">
      <c r="B24" s="5" t="inlineStr">
        <is>
          <t>Upgrade Tier (monthly % of cumulative base)</t>
        </is>
      </c>
      <c r="C24" s="9" t="n">
        <v>0.01</v>
      </c>
    </row>
    <row r="25">
      <c r="B25" s="5" t="inlineStr">
        <is>
          <t>Gift Wrap (% of new monthly charm sales)</t>
        </is>
      </c>
      <c r="C25" s="9" t="n">
        <v>0.15</v>
      </c>
    </row>
    <row r="27">
      <c r="B27" s="3" t="inlineStr">
        <is>
          <t>CONTENT SIZE ASSUMPTIONS</t>
        </is>
      </c>
      <c r="F27" s="10" t="inlineStr">
        <is>
          <t>API enforces 150 MB max per charm</t>
        </is>
      </c>
    </row>
    <row r="28">
      <c r="B28" s="4" t="inlineStr">
        <is>
          <t>Media Type</t>
        </is>
      </c>
      <c r="C28" s="4" t="inlineStr">
        <is>
          <t>Avg Size (MB)</t>
        </is>
      </c>
      <c r="D28" s="4" t="inlineStr">
        <is>
          <t>% of Charms</t>
        </is>
      </c>
      <c r="E28" s="4" t="inlineStr">
        <is>
          <t>Weighted MB</t>
        </is>
      </c>
      <c r="F28" s="10" t="inlineStr">
        <is>
          <t>Weighted MB = Size x Mix %</t>
        </is>
      </c>
    </row>
    <row r="29">
      <c r="B29" s="5" t="inlineStr">
        <is>
          <t>Video charms (single mp4/webm/mov)</t>
        </is>
      </c>
      <c r="C29" s="8" t="n">
        <v>55</v>
      </c>
      <c r="D29" s="9" t="n">
        <v>0.55</v>
      </c>
      <c r="E29" s="11">
        <f>C29*D29</f>
        <v/>
      </c>
      <c r="F29" s="10" t="inlineStr">
        <is>
          <t>iPhone 1080p: HEVC ~20MB, H.264 ~65MB, 4K ~67MB for 30s</t>
        </is>
      </c>
    </row>
    <row r="30">
      <c r="B30" s="5" t="inlineStr">
        <is>
          <t>Image gallery charms (1-20 images)</t>
        </is>
      </c>
      <c r="C30" s="8" t="n">
        <v>15</v>
      </c>
      <c r="D30" s="9" t="n">
        <v>0.35</v>
      </c>
      <c r="E30" s="11">
        <f>C30*D30</f>
        <v/>
      </c>
      <c r="F30" s="10" t="inlineStr">
        <is>
          <t>~4-6 iPhone photos avg at 2.5-4 MB each (HEIF/JPEG)</t>
        </is>
      </c>
    </row>
    <row r="31">
      <c r="B31" s="5" t="inlineStr">
        <is>
          <t>Audio charms (single mp3/wav/ogg/aac)</t>
        </is>
      </c>
      <c r="C31" s="8" t="n">
        <v>6</v>
      </c>
      <c r="D31" s="9" t="n">
        <v>0.1</v>
      </c>
      <c r="E31" s="11">
        <f>C31*D31</f>
        <v/>
      </c>
      <c r="F31" s="10" t="inlineStr">
        <is>
          <t>Voice message or song clip, 1-3 min</t>
        </is>
      </c>
    </row>
    <row r="32">
      <c r="B32" s="12" t="inlineStr">
        <is>
          <t>Mix total (should = 100%)</t>
        </is>
      </c>
      <c r="D32" s="13">
        <f>D29+D30+D31</f>
        <v/>
      </c>
    </row>
    <row r="33">
      <c r="B33" s="12" t="inlineStr">
        <is>
          <t>WEIGHTED AVG CONTENT SIZE (MB per charm)</t>
        </is>
      </c>
      <c r="C33" s="14">
        <f>E29+E30+E31</f>
        <v/>
      </c>
      <c r="E33" s="12" t="n"/>
      <c r="F33" s="10" t="inlineStr">
        <is>
          <t>Used for all storage cost calculations below</t>
        </is>
      </c>
    </row>
    <row r="34">
      <c r="B34" s="5" t="inlineStr">
        <is>
          <t>Charm claim rate (% sold that get activated)</t>
        </is>
      </c>
      <c r="C34" s="9" t="n">
        <v>0.85</v>
      </c>
      <c r="F34" s="10" t="inlineStr">
        <is>
          <t>Unclaimed charms use zero storage</t>
        </is>
      </c>
    </row>
    <row r="35">
      <c r="B35" s="5" t="inlineStr">
        <is>
          <t>Re-upload rate (% charms re-uploaded in 14-day settling)</t>
        </is>
      </c>
      <c r="C35" s="9" t="n">
        <v>0.2</v>
      </c>
      <c r="F35" s="10" t="inlineStr">
        <is>
          <t>Each re-upload = delete old + write new (extra ops)</t>
        </is>
      </c>
    </row>
    <row r="37">
      <c r="B37" s="3" t="inlineStr">
        <is>
          <t>PLAYBACK &amp; API REQUEST VOLUME</t>
        </is>
      </c>
    </row>
    <row r="38">
      <c r="B38" s="5" t="inlineStr">
        <is>
          <t>Avg views per charm per month (first 3 months)</t>
        </is>
      </c>
      <c r="C38" s="8" t="n">
        <v>8</v>
      </c>
      <c r="F38" s="10" t="inlineStr">
        <is>
          <t>Novelty period — owner + shared views</t>
        </is>
      </c>
    </row>
    <row r="39">
      <c r="B39" s="5" t="inlineStr">
        <is>
          <t>Avg views per charm per month (after 3 months)</t>
        </is>
      </c>
      <c r="C39" s="8" t="n">
        <v>2</v>
      </c>
      <c r="F39" s="10" t="inlineStr">
        <is>
          <t>Long-tail: occasional revisits</t>
        </is>
      </c>
    </row>
    <row r="40">
      <c r="B40" s="5" t="inlineStr">
        <is>
          <t>% of views requiring glyph verification</t>
        </is>
      </c>
      <c r="C40" s="9" t="n">
        <v>0.4</v>
      </c>
      <c r="F40" s="10" t="inlineStr">
        <is>
          <t>Each glyph verify = 1 extra API call + Table write</t>
        </is>
      </c>
    </row>
    <row r="41">
      <c r="B41" s="12" t="inlineStr">
        <is>
          <t>API CALLS PER CHARM LIFECYCLE (one-time)</t>
        </is>
      </c>
      <c r="C41" s="8" t="n">
        <v>5</v>
      </c>
      <c r="F41" s="10" t="inlineStr">
        <is>
          <t>claim + configure + get-upload-urls + finalize + owner-preview</t>
        </is>
      </c>
    </row>
    <row r="42">
      <c r="B42" s="5" t="inlineStr">
        <is>
          <t>Table Storage writes per charm setup</t>
        </is>
      </c>
      <c r="C42" s="8" t="n">
        <v>8</v>
      </c>
      <c r="F42" s="10" t="inlineStr">
        <is>
          <t>charm entity + user-charm + profile + request log (sampled)</t>
        </is>
      </c>
    </row>
    <row r="43">
      <c r="B43" s="5" t="inlineStr">
        <is>
          <t>Table Storage reads per charm view</t>
        </is>
      </c>
      <c r="C43" s="8" t="n">
        <v>3</v>
      </c>
      <c r="F43" s="10" t="inlineStr">
        <is>
          <t>GetCharm (entity lookup + rate-limit check + request log)</t>
        </is>
      </c>
    </row>
    <row r="45">
      <c r="B45" s="3" t="inlineStr">
        <is>
          <t>AZURE BLOB STORAGE — COOL TIER (Backup)</t>
        </is>
      </c>
      <c r="F45" s="10" t="inlineStr">
        <is>
          <t>Azure is backup; R2 is primary CDN delivery</t>
        </is>
      </c>
    </row>
    <row r="46">
      <c r="B46" s="4" t="inlineStr">
        <is>
          <t>Cost Component</t>
        </is>
      </c>
      <c r="C46" s="4" t="inlineStr">
        <is>
          <t>Rate</t>
        </is>
      </c>
      <c r="D46" s="4" t="inlineStr">
        <is>
          <t>Unit</t>
        </is>
      </c>
    </row>
    <row r="47">
      <c r="B47" s="5" t="inlineStr">
        <is>
          <t>Storage (per GB per month)</t>
        </is>
      </c>
      <c r="C47" s="15" t="n">
        <v>0.01</v>
      </c>
      <c r="D47" s="10" t="inlineStr">
        <is>
          <t>$/GB/month</t>
        </is>
      </c>
      <c r="F47" s="10" t="inlineStr">
        <is>
          <t>Cool tier — $0.01/GB. Cold = $0.0036 (higher access)</t>
        </is>
      </c>
    </row>
    <row r="48">
      <c r="B48" s="5" t="inlineStr">
        <is>
          <t>Write operations (per 10,000 ops)</t>
        </is>
      </c>
      <c r="C48" s="15" t="n">
        <v>0.1</v>
      </c>
      <c r="D48" s="10" t="inlineStr">
        <is>
          <t>$/10K writes</t>
        </is>
      </c>
      <c r="F48" s="10" t="inlineStr">
        <is>
          <t>PUT/Create blob — initial upload + re-uploads</t>
        </is>
      </c>
    </row>
    <row r="49">
      <c r="B49" s="5" t="inlineStr">
        <is>
          <t>Read operations (per 10,000 ops)</t>
        </is>
      </c>
      <c r="C49" s="15" t="n">
        <v>0.01</v>
      </c>
      <c r="D49" s="10" t="inlineStr">
        <is>
          <t>$/10K reads</t>
        </is>
      </c>
      <c r="F49" s="10" t="inlineStr">
        <is>
          <t>GET blob — fallback downloads only (R2 is primary)</t>
        </is>
      </c>
    </row>
    <row r="50">
      <c r="B50" s="5" t="inlineStr">
        <is>
          <t>Data retrieval (per GB downloaded)</t>
        </is>
      </c>
      <c r="C50" s="15" t="n">
        <v>0.01</v>
      </c>
      <c r="D50" s="10" t="inlineStr">
        <is>
          <t>$/GB retrieval</t>
        </is>
      </c>
      <c r="F50" s="10" t="inlineStr">
        <is>
          <t>Cool tier read penalty — only on Azure fallback reads</t>
        </is>
      </c>
    </row>
    <row r="51">
      <c r="B51" s="5" t="inlineStr">
        <is>
          <t>Data egress (per GB, first 100 GB free/mo)</t>
        </is>
      </c>
      <c r="C51" s="15" t="n">
        <v>0.08699999999999999</v>
      </c>
      <c r="D51" s="10" t="inlineStr">
        <is>
          <t>$/GB egress</t>
        </is>
      </c>
      <c r="F51" s="10" t="inlineStr">
        <is>
          <t>Only if client falls back from R2 — normally $0</t>
        </is>
      </c>
    </row>
    <row r="53">
      <c r="B53" s="3" t="inlineStr">
        <is>
          <t>CLOUDFLARE R2 (Primary CDN — Zero Egress)</t>
        </is>
      </c>
      <c r="F53" s="10" t="inlineStr">
        <is>
          <t>S3-compatible; zero bandwidth/egress fees</t>
        </is>
      </c>
    </row>
    <row r="54">
      <c r="B54" s="4" t="inlineStr">
        <is>
          <t>Cost Component</t>
        </is>
      </c>
      <c r="C54" s="4" t="inlineStr">
        <is>
          <t>Rate</t>
        </is>
      </c>
      <c r="D54" s="4" t="inlineStr">
        <is>
          <t>Unit</t>
        </is>
      </c>
    </row>
    <row r="55">
      <c r="B55" s="5" t="inlineStr">
        <is>
          <t>Storage (per GB per month)</t>
        </is>
      </c>
      <c r="C55" s="15" t="n">
        <v>0.015</v>
      </c>
      <c r="D55" s="10" t="inlineStr">
        <is>
          <t>$/GB/month</t>
        </is>
      </c>
      <c r="F55" s="10" t="inlineStr">
        <is>
          <t>First 10 GB free; $0.015/GB after</t>
        </is>
      </c>
    </row>
    <row r="56">
      <c r="B56" s="5" t="inlineStr">
        <is>
          <t>Class A ops — writes (per 1,000,000 ops)</t>
        </is>
      </c>
      <c r="C56" s="6" t="n">
        <v>4.5</v>
      </c>
      <c r="D56" s="10" t="inlineStr">
        <is>
          <t>$/1M Class A</t>
        </is>
      </c>
      <c r="F56" s="10" t="inlineStr">
        <is>
          <t>PUT/POST/LIST — uploads, re-uploads, finalize checks</t>
        </is>
      </c>
    </row>
    <row r="57">
      <c r="B57" s="5" t="inlineStr">
        <is>
          <t>Class B ops — reads (per 1,000,000 ops)</t>
        </is>
      </c>
      <c r="C57" s="6" t="n">
        <v>0.36</v>
      </c>
      <c r="D57" s="10" t="inlineStr">
        <is>
          <t>$/1M Class B</t>
        </is>
      </c>
      <c r="F57" s="10" t="inlineStr">
        <is>
          <t>GET — every charm playback downloads from R2</t>
        </is>
      </c>
    </row>
    <row r="58">
      <c r="B58" s="5" t="inlineStr">
        <is>
          <t>Egress (bandwidth)</t>
        </is>
      </c>
      <c r="C58" s="15" t="n">
        <v>0</v>
      </c>
      <c r="D58" s="10" t="inlineStr">
        <is>
          <t>$/GB</t>
        </is>
      </c>
      <c r="F58" s="10" t="inlineStr">
        <is>
          <t>ZERO — Cloudflare's key advantage</t>
        </is>
      </c>
    </row>
    <row r="59">
      <c r="B59" s="5" t="inlineStr">
        <is>
          <t>R2 free tier (storage GB included free)</t>
        </is>
      </c>
      <c r="C59" s="8" t="n">
        <v>10</v>
      </c>
      <c r="D59" s="10" t="inlineStr">
        <is>
          <t>GB free/month</t>
        </is>
      </c>
      <c r="F59" s="10" t="inlineStr">
        <is>
          <t>Also: 10M Class A free, 10M Class B free per month</t>
        </is>
      </c>
    </row>
    <row r="61">
      <c r="B61" s="3" t="inlineStr">
        <is>
          <t>AZURE TABLE STORAGE (Metadata &amp; Telemetry)</t>
        </is>
      </c>
    </row>
    <row r="62">
      <c r="B62" s="4" t="inlineStr">
        <is>
          <t>Cost Component</t>
        </is>
      </c>
      <c r="C62" s="4" t="inlineStr">
        <is>
          <t>Rate</t>
        </is>
      </c>
      <c r="D62" s="4" t="inlineStr">
        <is>
          <t>Unit</t>
        </is>
      </c>
    </row>
    <row r="63">
      <c r="B63" s="5" t="inlineStr">
        <is>
          <t>Storage (per GB per month)</t>
        </is>
      </c>
      <c r="C63" s="15" t="n">
        <v>0.045</v>
      </c>
      <c r="D63" s="10" t="inlineStr">
        <is>
          <t>$/GB/month</t>
        </is>
      </c>
      <c r="F63" s="10" t="inlineStr">
        <is>
          <t>Charm entities, profiles, user-charms, request logs</t>
        </is>
      </c>
    </row>
    <row r="64">
      <c r="B64" s="5" t="inlineStr">
        <is>
          <t>Transactions (per 10,000)</t>
        </is>
      </c>
      <c r="C64" s="15" t="n">
        <v>0.00036</v>
      </c>
      <c r="D64" s="10" t="inlineStr">
        <is>
          <t>$/10K txns</t>
        </is>
      </c>
      <c r="F64" s="10" t="inlineStr">
        <is>
          <t>Each read/write/query = 1 transaction</t>
        </is>
      </c>
    </row>
    <row r="65">
      <c r="B65" s="5" t="inlineStr">
        <is>
          <t>Avg entity size (KB per charm record set)</t>
        </is>
      </c>
      <c r="C65" s="8" t="n">
        <v>2</v>
      </c>
      <c r="D65" s="10" t="inlineStr">
        <is>
          <t>KB</t>
        </is>
      </c>
      <c r="F65" s="10" t="inlineStr">
        <is>
          <t>charm + user-charm + profile share ≈ 2 KB total</t>
        </is>
      </c>
    </row>
    <row r="67">
      <c r="B67" s="3" t="inlineStr">
        <is>
          <t>AZURE FUNCTIONS — CONSUMPTION PLAN</t>
        </is>
      </c>
    </row>
    <row r="68">
      <c r="B68" s="4" t="inlineStr">
        <is>
          <t>Cost Component</t>
        </is>
      </c>
      <c r="C68" s="4" t="inlineStr">
        <is>
          <t>Rate</t>
        </is>
      </c>
      <c r="D68" s="4" t="inlineStr">
        <is>
          <t>Unit</t>
        </is>
      </c>
    </row>
    <row r="69">
      <c r="B69" s="5" t="inlineStr">
        <is>
          <t>Executions (per 1,000,000)</t>
        </is>
      </c>
      <c r="C69" s="6" t="n">
        <v>0.2</v>
      </c>
      <c r="D69" s="10" t="inlineStr">
        <is>
          <t>$/1M executions</t>
        </is>
      </c>
      <c r="F69" s="10" t="inlineStr">
        <is>
          <t>First 1M/month FREE; then $0.20/million</t>
        </is>
      </c>
    </row>
    <row r="70">
      <c r="B70" s="5" t="inlineStr">
        <is>
          <t>Compute (per GB-second)</t>
        </is>
      </c>
      <c r="C70" s="16" t="n">
        <v>1.6e-05</v>
      </c>
      <c r="D70" s="10" t="inlineStr">
        <is>
          <t>$/GB-s</t>
        </is>
      </c>
      <c r="F70" s="10" t="inlineStr">
        <is>
          <t>First 400K GB-s FREE; ~128MB × 200ms avg per call</t>
        </is>
      </c>
    </row>
    <row r="71">
      <c r="B71" s="5" t="inlineStr">
        <is>
          <t>Avg execution duration (ms)</t>
        </is>
      </c>
      <c r="C71" s="8" t="n">
        <v>200</v>
      </c>
      <c r="D71" s="10" t="inlineStr">
        <is>
          <t>milliseconds</t>
        </is>
      </c>
      <c r="F71" s="10" t="inlineStr">
        <is>
          <t>Typical for table lookup + SAS URL generation</t>
        </is>
      </c>
    </row>
    <row r="72">
      <c r="B72" s="5" t="inlineStr">
        <is>
          <t>Memory allocation (MB)</t>
        </is>
      </c>
      <c r="C72" s="8" t="n">
        <v>128</v>
      </c>
      <c r="D72" s="10" t="inlineStr">
        <is>
          <t>MB</t>
        </is>
      </c>
      <c r="F72" s="10" t="inlineStr">
        <is>
          <t>Consumption plan default; 128 MB minimum</t>
        </is>
      </c>
    </row>
    <row r="73">
      <c r="B73" s="5" t="inlineStr">
        <is>
          <t>Free tier executions (per month)</t>
        </is>
      </c>
      <c r="C73" s="8" t="n">
        <v>1000000</v>
      </c>
      <c r="D73" s="10" t="inlineStr">
        <is>
          <t>executions</t>
        </is>
      </c>
    </row>
    <row r="74">
      <c r="B74" s="5" t="inlineStr">
        <is>
          <t>Free tier GB-seconds (per month)</t>
        </is>
      </c>
      <c r="C74" s="8" t="n">
        <v>400000</v>
      </c>
      <c r="D74" s="10" t="inlineStr">
        <is>
          <t>GB-seconds</t>
        </is>
      </c>
    </row>
    <row r="76">
      <c r="B76" s="3" t="inlineStr">
        <is>
          <t>OTHER PLATFORM COSTS (Monthly Fixed)</t>
        </is>
      </c>
    </row>
    <row r="77">
      <c r="B77" s="4" t="inlineStr">
        <is>
          <t>Item</t>
        </is>
      </c>
      <c r="C77" s="4" t="inlineStr">
        <is>
          <t>Monthly Cost</t>
        </is>
      </c>
      <c r="D77" s="4" t="inlineStr">
        <is>
          <t>Notes</t>
        </is>
      </c>
    </row>
    <row r="78">
      <c r="B78" s="5" t="inlineStr">
        <is>
          <t>Entra CIAM (Authentication)</t>
        </is>
      </c>
      <c r="C78" s="6" t="n">
        <v>0</v>
      </c>
      <c r="D78" s="10" t="inlineStr">
        <is>
          <t>Free: 50K MAU. $0.0025/MAU after that</t>
        </is>
      </c>
      <c r="F78" s="10" t="inlineStr">
        <is>
          <t>Per-MAU charge applies only beyond 50K monthly active users</t>
        </is>
      </c>
    </row>
    <row r="79">
      <c r="B79" s="5" t="inlineStr">
        <is>
          <t>CIAM per-MAU cost (beyond 50K free)</t>
        </is>
      </c>
      <c r="C79" s="15" t="n">
        <v>0.0025</v>
      </c>
      <c r="D79" s="10" t="inlineStr">
        <is>
          <t>$/MAU above 50K</t>
        </is>
      </c>
    </row>
    <row r="80">
      <c r="B80" s="5" t="inlineStr">
        <is>
          <t>Domain / SSL / DNS</t>
        </is>
      </c>
      <c r="C80" s="6" t="n">
        <v>15</v>
      </c>
    </row>
    <row r="81">
      <c r="B81" s="5" t="inlineStr">
        <is>
          <t>Application Insights / Monitoring</t>
        </is>
      </c>
      <c r="C81" s="6" t="n">
        <v>10</v>
      </c>
      <c r="D81" s="10" t="inlineStr">
        <is>
          <t>First 5 GB/mo free ingestion</t>
        </is>
      </c>
    </row>
    <row r="83">
      <c r="B83" s="3" t="inlineStr">
        <is>
          <t>OPERATING EXPENSES (Monthly)</t>
        </is>
      </c>
    </row>
    <row r="84">
      <c r="B84" s="4" t="inlineStr">
        <is>
          <t>Expense</t>
        </is>
      </c>
      <c r="C84" s="4" t="inlineStr">
        <is>
          <t>Monthly Cost</t>
        </is>
      </c>
      <c r="D84" s="4" t="inlineStr">
        <is>
          <t>MoM Growth %</t>
        </is>
      </c>
    </row>
    <row r="85">
      <c r="B85" s="5" t="inlineStr">
        <is>
          <t>Marketing / Customer Acquisition</t>
        </is>
      </c>
      <c r="C85" s="17" t="n">
        <v>500</v>
      </c>
      <c r="D85" s="9" t="n">
        <v>0.05</v>
      </c>
    </row>
    <row r="86">
      <c r="B86" s="5" t="inlineStr">
        <is>
          <t>Shipping &amp; Fulfillment (per charm shipped)</t>
        </is>
      </c>
      <c r="C86" s="6" t="n">
        <v>3.5</v>
      </c>
      <c r="D86" s="10" t="inlineStr">
        <is>
          <t>Per unit shipped</t>
        </is>
      </c>
    </row>
    <row r="87">
      <c r="B87" s="5" t="inlineStr">
        <is>
          <t>Payment Processing (% of revenue)</t>
        </is>
      </c>
      <c r="C87" s="9" t="n">
        <v>0.029</v>
      </c>
      <c r="D87" s="10" t="inlineStr">
        <is>
          <t>Stripe / processor fee</t>
        </is>
      </c>
    </row>
    <row r="88">
      <c r="B88" s="5" t="inlineStr">
        <is>
          <t>Customer Support</t>
        </is>
      </c>
      <c r="C88" s="17" t="n">
        <v>200</v>
      </c>
      <c r="D88" s="9" t="n">
        <v>0.03</v>
      </c>
    </row>
    <row r="89">
      <c r="B89" s="5" t="inlineStr">
        <is>
          <t>Insurance / Legal / Misc</t>
        </is>
      </c>
      <c r="C89" s="17" t="n">
        <v>150</v>
      </c>
      <c r="D89" s="9" t="n">
        <v>0</v>
      </c>
    </row>
    <row r="91">
      <c r="B91" s="3" t="inlineStr">
        <is>
          <t>OTHER ASSUMPTIONS</t>
        </is>
      </c>
    </row>
    <row r="92">
      <c r="B92" s="5" t="inlineStr">
        <is>
          <t>Tax rate (on positive EBITDA)</t>
        </is>
      </c>
      <c r="C92" s="9" t="n">
        <v>0.21</v>
      </c>
    </row>
    <row r="94">
      <c r="B94" s="3" t="inlineStr">
        <is>
          <t>RETURNS &amp; REPLACEMENTS</t>
        </is>
      </c>
      <c r="F94" s="10" t="inlineStr">
        <is>
          <t>Industry avg for specialty/gift items: 5-10% returns, 2-4% defects</t>
        </is>
      </c>
    </row>
    <row r="95">
      <c r="B95" s="4" t="inlineStr">
        <is>
          <t>Item</t>
        </is>
      </c>
      <c r="C95" s="4" t="inlineStr">
        <is>
          <t>Rate / Cost</t>
        </is>
      </c>
      <c r="D95" s="4" t="inlineStr">
        <is>
          <t>Notes</t>
        </is>
      </c>
    </row>
    <row r="96">
      <c r="B96" s="5" t="inlineStr">
        <is>
          <t>Return rate (% of monthly charm sales returned)</t>
        </is>
      </c>
      <c r="C96" s="9" t="n">
        <v>0.06</v>
      </c>
      <c r="D96" s="10" t="inlineStr">
        <is>
          <t>Specialty/gift items — lower than general e-commerce</t>
        </is>
      </c>
      <c r="F96" s="10" t="inlineStr">
        <is>
          <t>E-commerce avg ~15-30%; gift/keepsake items typically 5-8%</t>
        </is>
      </c>
    </row>
    <row r="97">
      <c r="B97" s="5" t="inlineStr">
        <is>
          <t>% of returns that are pre-claim (restockable)</t>
        </is>
      </c>
      <c r="C97" s="9" t="n">
        <v>0.6</v>
      </c>
      <c r="D97" s="10" t="inlineStr">
        <is>
          <t>Charm bought but never claimed/configured</t>
        </is>
      </c>
      <c r="F97" s="10" t="inlineStr">
        <is>
          <t>Pre-claim charms can be wiped and resold; post-claim are dead stock</t>
        </is>
      </c>
    </row>
    <row r="98">
      <c r="B98" s="5" t="inlineStr">
        <is>
          <t>Restocking salvage (% of COGS recovered on pre-claim returns)</t>
        </is>
      </c>
      <c r="C98" s="9" t="n">
        <v>0.8</v>
      </c>
      <c r="D98" s="10" t="inlineStr">
        <is>
          <t>Repackage &amp; resell; some cosmetic loss</t>
        </is>
      </c>
      <c r="F98" s="10" t="inlineStr">
        <is>
          <t>Pre-claim charms only — post-claim have content, cannot resell</t>
        </is>
      </c>
    </row>
    <row r="99">
      <c r="B99" s="5" t="inlineStr">
        <is>
          <t>Return shipping cost (company pays, per unit)</t>
        </is>
      </c>
      <c r="C99" s="6" t="n">
        <v>5</v>
      </c>
      <c r="F99" s="10" t="inlineStr">
        <is>
          <t>Return label cost; higher than outbound due to reverse logistics</t>
        </is>
      </c>
    </row>
    <row r="100">
      <c r="B100" s="5" t="inlineStr">
        <is>
          <t>Return processing / handling cost (per unit)</t>
        </is>
      </c>
      <c r="C100" s="6" t="n">
        <v>2</v>
      </c>
      <c r="F100" s="10" t="inlineStr">
        <is>
          <t>Inspect, wipe NFC, repackage or dispose</t>
        </is>
      </c>
    </row>
    <row r="101">
      <c r="B101" s="5" t="inlineStr">
        <is>
          <t>Replacement / defect rate (% of sales needing free replacement)</t>
        </is>
      </c>
      <c r="C101" s="9" t="n">
        <v>0.03</v>
      </c>
      <c r="D101" s="10" t="inlineStr">
        <is>
          <t>NFC failure, shipping damage, manufacturing defect</t>
        </is>
      </c>
      <c r="F101" s="10" t="inlineStr">
        <is>
          <t>Industry avg for electronics-adjacent: 2-5%</t>
        </is>
      </c>
    </row>
    <row r="102">
      <c r="B102" s="5" t="inlineStr">
        <is>
          <t>Replacement shipping cost (per unit)</t>
        </is>
      </c>
      <c r="C102" s="6" t="n">
        <v>3.5</v>
      </c>
      <c r="F102" s="10" t="inlineStr">
        <is>
          <t>Same as outbound; may include expedited for goodwill</t>
        </is>
      </c>
    </row>
    <row r="103">
      <c r="B103" s="5" t="inlineStr">
        <is>
          <t>Replacement COGS (% of original — may use cheaper housing)</t>
        </is>
      </c>
      <c r="C103" s="9" t="n">
        <v>1</v>
      </c>
      <c r="D103" s="10" t="inlineStr">
        <is>
          <t>100% = full COGS; could be lower if reusing parts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B1:Z11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B1" s="1" t="inlineStr">
        <is>
          <t>MemoryCharm — 24-Month Financial Projections</t>
        </is>
      </c>
    </row>
    <row r="2">
      <c r="B2" s="2" t="inlineStr">
        <is>
          <t>All values driven by Assumptions sheet — change inputs there</t>
        </is>
      </c>
    </row>
    <row r="4">
      <c r="B4" s="18" t="inlineStr"/>
      <c r="C4" s="4" t="inlineStr">
        <is>
          <t>Month 1</t>
        </is>
      </c>
      <c r="D4" s="4" t="inlineStr">
        <is>
          <t>Month 2</t>
        </is>
      </c>
      <c r="E4" s="4" t="inlineStr">
        <is>
          <t>Month 3</t>
        </is>
      </c>
      <c r="F4" s="4" t="inlineStr">
        <is>
          <t>Month 4</t>
        </is>
      </c>
      <c r="G4" s="4" t="inlineStr">
        <is>
          <t>Month 5</t>
        </is>
      </c>
      <c r="H4" s="4" t="inlineStr">
        <is>
          <t>Month 6</t>
        </is>
      </c>
      <c r="I4" s="4" t="inlineStr">
        <is>
          <t>Month 7</t>
        </is>
      </c>
      <c r="J4" s="4" t="inlineStr">
        <is>
          <t>Month 8</t>
        </is>
      </c>
      <c r="K4" s="4" t="inlineStr">
        <is>
          <t>Month 9</t>
        </is>
      </c>
      <c r="L4" s="4" t="inlineStr">
        <is>
          <t>Month 10</t>
        </is>
      </c>
      <c r="M4" s="4" t="inlineStr">
        <is>
          <t>Month 11</t>
        </is>
      </c>
      <c r="N4" s="4" t="inlineStr">
        <is>
          <t>Month 12</t>
        </is>
      </c>
      <c r="O4" s="4" t="inlineStr">
        <is>
          <t>Month 13</t>
        </is>
      </c>
      <c r="P4" s="4" t="inlineStr">
        <is>
          <t>Month 14</t>
        </is>
      </c>
      <c r="Q4" s="4" t="inlineStr">
        <is>
          <t>Month 15</t>
        </is>
      </c>
      <c r="R4" s="4" t="inlineStr">
        <is>
          <t>Month 16</t>
        </is>
      </c>
      <c r="S4" s="4" t="inlineStr">
        <is>
          <t>Month 17</t>
        </is>
      </c>
      <c r="T4" s="4" t="inlineStr">
        <is>
          <t>Month 18</t>
        </is>
      </c>
      <c r="U4" s="4" t="inlineStr">
        <is>
          <t>Month 19</t>
        </is>
      </c>
      <c r="V4" s="4" t="inlineStr">
        <is>
          <t>Month 20</t>
        </is>
      </c>
      <c r="W4" s="4" t="inlineStr">
        <is>
          <t>Month 21</t>
        </is>
      </c>
      <c r="X4" s="4" t="inlineStr">
        <is>
          <t>Month 22</t>
        </is>
      </c>
      <c r="Y4" s="4" t="inlineStr">
        <is>
          <t>Month 23</t>
        </is>
      </c>
      <c r="Z4" s="4" t="inlineStr">
        <is>
          <t>Month 24</t>
        </is>
      </c>
    </row>
    <row r="5">
      <c r="B5" s="3" t="inlineStr">
        <is>
          <t>UNIT SALES</t>
        </is>
      </c>
    </row>
    <row r="6">
      <c r="B6" s="5" t="inlineStr">
        <is>
          <t>10-Year Charms Sold</t>
        </is>
      </c>
      <c r="C6" s="19">
        <f>Assumptions!C18</f>
        <v/>
      </c>
      <c r="D6" s="19">
        <f>ROUND(C6*(1+Assumptions!D18),0)</f>
        <v/>
      </c>
      <c r="E6" s="19">
        <f>ROUND(D6*(1+Assumptions!D18),0)</f>
        <v/>
      </c>
      <c r="F6" s="19">
        <f>ROUND(E6*(1+Assumptions!D18),0)</f>
        <v/>
      </c>
      <c r="G6" s="19">
        <f>ROUND(F6*(1+Assumptions!D18),0)</f>
        <v/>
      </c>
      <c r="H6" s="19">
        <f>ROUND(G6*(1+Assumptions!D18),0)</f>
        <v/>
      </c>
      <c r="I6" s="19">
        <f>ROUND(H6*(1+Assumptions!D18),0)</f>
        <v/>
      </c>
      <c r="J6" s="19">
        <f>ROUND(I6*(1+Assumptions!D18),0)</f>
        <v/>
      </c>
      <c r="K6" s="19">
        <f>ROUND(J6*(1+Assumptions!D18),0)</f>
        <v/>
      </c>
      <c r="L6" s="19">
        <f>ROUND(K6*(1+Assumptions!D18),0)</f>
        <v/>
      </c>
      <c r="M6" s="19">
        <f>ROUND(L6*(1+Assumptions!D18),0)</f>
        <v/>
      </c>
      <c r="N6" s="19">
        <f>ROUND(M6*(1+Assumptions!D18),0)</f>
        <v/>
      </c>
      <c r="O6" s="19">
        <f>ROUND(N6*(1+Assumptions!D18),0)</f>
        <v/>
      </c>
      <c r="P6" s="19">
        <f>ROUND(O6*(1+Assumptions!D18),0)</f>
        <v/>
      </c>
      <c r="Q6" s="19">
        <f>ROUND(P6*(1+Assumptions!D18),0)</f>
        <v/>
      </c>
      <c r="R6" s="19">
        <f>ROUND(Q6*(1+Assumptions!D18),0)</f>
        <v/>
      </c>
      <c r="S6" s="19">
        <f>ROUND(R6*(1+Assumptions!D18),0)</f>
        <v/>
      </c>
      <c r="T6" s="19">
        <f>ROUND(S6*(1+Assumptions!D18),0)</f>
        <v/>
      </c>
      <c r="U6" s="19">
        <f>ROUND(T6*(1+Assumptions!D18),0)</f>
        <v/>
      </c>
      <c r="V6" s="19">
        <f>ROUND(U6*(1+Assumptions!D18),0)</f>
        <v/>
      </c>
      <c r="W6" s="19">
        <f>ROUND(V6*(1+Assumptions!D18),0)</f>
        <v/>
      </c>
      <c r="X6" s="19">
        <f>ROUND(W6*(1+Assumptions!D18),0)</f>
        <v/>
      </c>
      <c r="Y6" s="19">
        <f>ROUND(X6*(1+Assumptions!D18),0)</f>
        <v/>
      </c>
      <c r="Z6" s="19">
        <f>ROUND(Y6*(1+Assumptions!D18),0)</f>
        <v/>
      </c>
    </row>
    <row r="7">
      <c r="B7" s="5" t="inlineStr">
        <is>
          <t>15-Year Charms Sold</t>
        </is>
      </c>
      <c r="C7" s="19">
        <f>Assumptions!C19</f>
        <v/>
      </c>
      <c r="D7" s="19">
        <f>ROUND(C7*(1+Assumptions!D19),0)</f>
        <v/>
      </c>
      <c r="E7" s="19">
        <f>ROUND(D7*(1+Assumptions!D19),0)</f>
        <v/>
      </c>
      <c r="F7" s="19">
        <f>ROUND(E7*(1+Assumptions!D19),0)</f>
        <v/>
      </c>
      <c r="G7" s="19">
        <f>ROUND(F7*(1+Assumptions!D19),0)</f>
        <v/>
      </c>
      <c r="H7" s="19">
        <f>ROUND(G7*(1+Assumptions!D19),0)</f>
        <v/>
      </c>
      <c r="I7" s="19">
        <f>ROUND(H7*(1+Assumptions!D19),0)</f>
        <v/>
      </c>
      <c r="J7" s="19">
        <f>ROUND(I7*(1+Assumptions!D19),0)</f>
        <v/>
      </c>
      <c r="K7" s="19">
        <f>ROUND(J7*(1+Assumptions!D19),0)</f>
        <v/>
      </c>
      <c r="L7" s="19">
        <f>ROUND(K7*(1+Assumptions!D19),0)</f>
        <v/>
      </c>
      <c r="M7" s="19">
        <f>ROUND(L7*(1+Assumptions!D19),0)</f>
        <v/>
      </c>
      <c r="N7" s="19">
        <f>ROUND(M7*(1+Assumptions!D19),0)</f>
        <v/>
      </c>
      <c r="O7" s="19">
        <f>ROUND(N7*(1+Assumptions!D19),0)</f>
        <v/>
      </c>
      <c r="P7" s="19">
        <f>ROUND(O7*(1+Assumptions!D19),0)</f>
        <v/>
      </c>
      <c r="Q7" s="19">
        <f>ROUND(P7*(1+Assumptions!D19),0)</f>
        <v/>
      </c>
      <c r="R7" s="19">
        <f>ROUND(Q7*(1+Assumptions!D19),0)</f>
        <v/>
      </c>
      <c r="S7" s="19">
        <f>ROUND(R7*(1+Assumptions!D19),0)</f>
        <v/>
      </c>
      <c r="T7" s="19">
        <f>ROUND(S7*(1+Assumptions!D19),0)</f>
        <v/>
      </c>
      <c r="U7" s="19">
        <f>ROUND(T7*(1+Assumptions!D19),0)</f>
        <v/>
      </c>
      <c r="V7" s="19">
        <f>ROUND(U7*(1+Assumptions!D19),0)</f>
        <v/>
      </c>
      <c r="W7" s="19">
        <f>ROUND(V7*(1+Assumptions!D19),0)</f>
        <v/>
      </c>
      <c r="X7" s="19">
        <f>ROUND(W7*(1+Assumptions!D19),0)</f>
        <v/>
      </c>
      <c r="Y7" s="19">
        <f>ROUND(X7*(1+Assumptions!D19),0)</f>
        <v/>
      </c>
      <c r="Z7" s="19">
        <f>ROUND(Y7*(1+Assumptions!D19),0)</f>
        <v/>
      </c>
    </row>
    <row r="8">
      <c r="B8" s="5" t="inlineStr">
        <is>
          <t>Retail (Perpetual) Charms Sold</t>
        </is>
      </c>
      <c r="C8" s="19">
        <f>Assumptions!C20</f>
        <v/>
      </c>
      <c r="D8" s="19">
        <f>ROUND(C8*(1+Assumptions!D20),0)</f>
        <v/>
      </c>
      <c r="E8" s="19">
        <f>ROUND(D8*(1+Assumptions!D20),0)</f>
        <v/>
      </c>
      <c r="F8" s="19">
        <f>ROUND(E8*(1+Assumptions!D20),0)</f>
        <v/>
      </c>
      <c r="G8" s="19">
        <f>ROUND(F8*(1+Assumptions!D20),0)</f>
        <v/>
      </c>
      <c r="H8" s="19">
        <f>ROUND(G8*(1+Assumptions!D20),0)</f>
        <v/>
      </c>
      <c r="I8" s="19">
        <f>ROUND(H8*(1+Assumptions!D20),0)</f>
        <v/>
      </c>
      <c r="J8" s="19">
        <f>ROUND(I8*(1+Assumptions!D20),0)</f>
        <v/>
      </c>
      <c r="K8" s="19">
        <f>ROUND(J8*(1+Assumptions!D20),0)</f>
        <v/>
      </c>
      <c r="L8" s="19">
        <f>ROUND(K8*(1+Assumptions!D20),0)</f>
        <v/>
      </c>
      <c r="M8" s="19">
        <f>ROUND(L8*(1+Assumptions!D20),0)</f>
        <v/>
      </c>
      <c r="N8" s="19">
        <f>ROUND(M8*(1+Assumptions!D20),0)</f>
        <v/>
      </c>
      <c r="O8" s="19">
        <f>ROUND(N8*(1+Assumptions!D20),0)</f>
        <v/>
      </c>
      <c r="P8" s="19">
        <f>ROUND(O8*(1+Assumptions!D20),0)</f>
        <v/>
      </c>
      <c r="Q8" s="19">
        <f>ROUND(P8*(1+Assumptions!D20),0)</f>
        <v/>
      </c>
      <c r="R8" s="19">
        <f>ROUND(Q8*(1+Assumptions!D20),0)</f>
        <v/>
      </c>
      <c r="S8" s="19">
        <f>ROUND(R8*(1+Assumptions!D20),0)</f>
        <v/>
      </c>
      <c r="T8" s="19">
        <f>ROUND(S8*(1+Assumptions!D20),0)</f>
        <v/>
      </c>
      <c r="U8" s="19">
        <f>ROUND(T8*(1+Assumptions!D20),0)</f>
        <v/>
      </c>
      <c r="V8" s="19">
        <f>ROUND(U8*(1+Assumptions!D20),0)</f>
        <v/>
      </c>
      <c r="W8" s="19">
        <f>ROUND(V8*(1+Assumptions!D20),0)</f>
        <v/>
      </c>
      <c r="X8" s="19">
        <f>ROUND(W8*(1+Assumptions!D20),0)</f>
        <v/>
      </c>
      <c r="Y8" s="19">
        <f>ROUND(X8*(1+Assumptions!D20),0)</f>
        <v/>
      </c>
      <c r="Z8" s="19">
        <f>ROUND(Y8*(1+Assumptions!D20),0)</f>
        <v/>
      </c>
    </row>
    <row r="9">
      <c r="B9" s="20" t="inlineStr">
        <is>
          <t>Total Charms Sold (Month)</t>
        </is>
      </c>
      <c r="C9" s="21">
        <f>C6+C7+C8</f>
        <v/>
      </c>
      <c r="D9" s="21">
        <f>D6+D7+D8</f>
        <v/>
      </c>
      <c r="E9" s="21">
        <f>E6+E7+E8</f>
        <v/>
      </c>
      <c r="F9" s="21">
        <f>F6+F7+F8</f>
        <v/>
      </c>
      <c r="G9" s="21">
        <f>G6+G7+G8</f>
        <v/>
      </c>
      <c r="H9" s="21">
        <f>H6+H7+H8</f>
        <v/>
      </c>
      <c r="I9" s="21">
        <f>I6+I7+I8</f>
        <v/>
      </c>
      <c r="J9" s="21">
        <f>J6+J7+J8</f>
        <v/>
      </c>
      <c r="K9" s="21">
        <f>K6+K7+K8</f>
        <v/>
      </c>
      <c r="L9" s="21">
        <f>L6+L7+L8</f>
        <v/>
      </c>
      <c r="M9" s="21">
        <f>M6+M7+M8</f>
        <v/>
      </c>
      <c r="N9" s="21">
        <f>N6+N7+N8</f>
        <v/>
      </c>
      <c r="O9" s="21">
        <f>O6+O7+O8</f>
        <v/>
      </c>
      <c r="P9" s="21">
        <f>P6+P7+P8</f>
        <v/>
      </c>
      <c r="Q9" s="21">
        <f>Q6+Q7+Q8</f>
        <v/>
      </c>
      <c r="R9" s="21">
        <f>R6+R7+R8</f>
        <v/>
      </c>
      <c r="S9" s="21">
        <f>S6+S7+S8</f>
        <v/>
      </c>
      <c r="T9" s="21">
        <f>T6+T7+T8</f>
        <v/>
      </c>
      <c r="U9" s="21">
        <f>U6+U7+U8</f>
        <v/>
      </c>
      <c r="V9" s="21">
        <f>V6+V7+V8</f>
        <v/>
      </c>
      <c r="W9" s="21">
        <f>W6+W7+W8</f>
        <v/>
      </c>
      <c r="X9" s="21">
        <f>X6+X7+X8</f>
        <v/>
      </c>
      <c r="Y9" s="21">
        <f>Y6+Y7+Y8</f>
        <v/>
      </c>
      <c r="Z9" s="21">
        <f>Z6+Z7+Z8</f>
        <v/>
      </c>
    </row>
    <row r="10">
      <c r="B10" s="20" t="inlineStr">
        <is>
          <t>Cumulative Charms Sold</t>
        </is>
      </c>
      <c r="C10" s="21">
        <f>C9</f>
        <v/>
      </c>
      <c r="D10" s="21">
        <f>C10+D9</f>
        <v/>
      </c>
      <c r="E10" s="21">
        <f>D10+E9</f>
        <v/>
      </c>
      <c r="F10" s="21">
        <f>E10+F9</f>
        <v/>
      </c>
      <c r="G10" s="21">
        <f>F10+G9</f>
        <v/>
      </c>
      <c r="H10" s="21">
        <f>G10+H9</f>
        <v/>
      </c>
      <c r="I10" s="21">
        <f>H10+I9</f>
        <v/>
      </c>
      <c r="J10" s="21">
        <f>I10+J9</f>
        <v/>
      </c>
      <c r="K10" s="21">
        <f>J10+K9</f>
        <v/>
      </c>
      <c r="L10" s="21">
        <f>K10+L9</f>
        <v/>
      </c>
      <c r="M10" s="21">
        <f>L10+M9</f>
        <v/>
      </c>
      <c r="N10" s="21">
        <f>M10+N9</f>
        <v/>
      </c>
      <c r="O10" s="21">
        <f>N10+O9</f>
        <v/>
      </c>
      <c r="P10" s="21">
        <f>O10+P9</f>
        <v/>
      </c>
      <c r="Q10" s="21">
        <f>P10+Q9</f>
        <v/>
      </c>
      <c r="R10" s="21">
        <f>Q10+R9</f>
        <v/>
      </c>
      <c r="S10" s="21">
        <f>R10+S9</f>
        <v/>
      </c>
      <c r="T10" s="21">
        <f>S10+T9</f>
        <v/>
      </c>
      <c r="U10" s="21">
        <f>T10+U9</f>
        <v/>
      </c>
      <c r="V10" s="21">
        <f>U10+V9</f>
        <v/>
      </c>
      <c r="W10" s="21">
        <f>V10+W9</f>
        <v/>
      </c>
      <c r="X10" s="21">
        <f>W10+X9</f>
        <v/>
      </c>
      <c r="Y10" s="21">
        <f>X10+Y9</f>
        <v/>
      </c>
      <c r="Z10" s="21">
        <f>Y10+Z9</f>
        <v/>
      </c>
    </row>
    <row r="11">
      <c r="B11" s="5" t="inlineStr">
        <is>
          <t>Active Charms (claimed, storing content)</t>
        </is>
      </c>
      <c r="C11" s="19">
        <f>ROUND(C10*Assumptions!C34,0)</f>
        <v/>
      </c>
      <c r="D11" s="19">
        <f>ROUND(D10*Assumptions!C34,0)</f>
        <v/>
      </c>
      <c r="E11" s="19">
        <f>ROUND(E10*Assumptions!C34,0)</f>
        <v/>
      </c>
      <c r="F11" s="19">
        <f>ROUND(F10*Assumptions!C34,0)</f>
        <v/>
      </c>
      <c r="G11" s="19">
        <f>ROUND(G10*Assumptions!C34,0)</f>
        <v/>
      </c>
      <c r="H11" s="19">
        <f>ROUND(H10*Assumptions!C34,0)</f>
        <v/>
      </c>
      <c r="I11" s="19">
        <f>ROUND(I10*Assumptions!C34,0)</f>
        <v/>
      </c>
      <c r="J11" s="19">
        <f>ROUND(J10*Assumptions!C34,0)</f>
        <v/>
      </c>
      <c r="K11" s="19">
        <f>ROUND(K10*Assumptions!C34,0)</f>
        <v/>
      </c>
      <c r="L11" s="19">
        <f>ROUND(L10*Assumptions!C34,0)</f>
        <v/>
      </c>
      <c r="M11" s="19">
        <f>ROUND(M10*Assumptions!C34,0)</f>
        <v/>
      </c>
      <c r="N11" s="19">
        <f>ROUND(N10*Assumptions!C34,0)</f>
        <v/>
      </c>
      <c r="O11" s="19">
        <f>ROUND(O10*Assumptions!C34,0)</f>
        <v/>
      </c>
      <c r="P11" s="19">
        <f>ROUND(P10*Assumptions!C34,0)</f>
        <v/>
      </c>
      <c r="Q11" s="19">
        <f>ROUND(Q10*Assumptions!C34,0)</f>
        <v/>
      </c>
      <c r="R11" s="19">
        <f>ROUND(R10*Assumptions!C34,0)</f>
        <v/>
      </c>
      <c r="S11" s="19">
        <f>ROUND(S10*Assumptions!C34,0)</f>
        <v/>
      </c>
      <c r="T11" s="19">
        <f>ROUND(T10*Assumptions!C34,0)</f>
        <v/>
      </c>
      <c r="U11" s="19">
        <f>ROUND(U10*Assumptions!C34,0)</f>
        <v/>
      </c>
      <c r="V11" s="19">
        <f>ROUND(V10*Assumptions!C34,0)</f>
        <v/>
      </c>
      <c r="W11" s="19">
        <f>ROUND(W10*Assumptions!C34,0)</f>
        <v/>
      </c>
      <c r="X11" s="19">
        <f>ROUND(X10*Assumptions!C34,0)</f>
        <v/>
      </c>
      <c r="Y11" s="19">
        <f>ROUND(Y10*Assumptions!C34,0)</f>
        <v/>
      </c>
      <c r="Z11" s="19">
        <f>ROUND(Z10*Assumptions!C34,0)</f>
        <v/>
      </c>
    </row>
    <row r="13">
      <c r="B13" s="3" t="inlineStr">
        <is>
          <t>STORAGE VOLUME</t>
        </is>
      </c>
    </row>
    <row r="14">
      <c r="B14" s="22" t="inlineStr">
        <is>
          <t>New Content Uploaded (GB)</t>
        </is>
      </c>
      <c r="C14" s="11">
        <f>ROUND(C9*Assumptions!C34*Assumptions!C33/1024,2)</f>
        <v/>
      </c>
      <c r="D14" s="11">
        <f>ROUND(D9*Assumptions!C34*Assumptions!C33/1024,2)</f>
        <v/>
      </c>
      <c r="E14" s="11">
        <f>ROUND(E9*Assumptions!C34*Assumptions!C33/1024,2)</f>
        <v/>
      </c>
      <c r="F14" s="11">
        <f>ROUND(F9*Assumptions!C34*Assumptions!C33/1024,2)</f>
        <v/>
      </c>
      <c r="G14" s="11">
        <f>ROUND(G9*Assumptions!C34*Assumptions!C33/1024,2)</f>
        <v/>
      </c>
      <c r="H14" s="11">
        <f>ROUND(H9*Assumptions!C34*Assumptions!C33/1024,2)</f>
        <v/>
      </c>
      <c r="I14" s="11">
        <f>ROUND(I9*Assumptions!C34*Assumptions!C33/1024,2)</f>
        <v/>
      </c>
      <c r="J14" s="11">
        <f>ROUND(J9*Assumptions!C34*Assumptions!C33/1024,2)</f>
        <v/>
      </c>
      <c r="K14" s="11">
        <f>ROUND(K9*Assumptions!C34*Assumptions!C33/1024,2)</f>
        <v/>
      </c>
      <c r="L14" s="11">
        <f>ROUND(L9*Assumptions!C34*Assumptions!C33/1024,2)</f>
        <v/>
      </c>
      <c r="M14" s="11">
        <f>ROUND(M9*Assumptions!C34*Assumptions!C33/1024,2)</f>
        <v/>
      </c>
      <c r="N14" s="11">
        <f>ROUND(N9*Assumptions!C34*Assumptions!C33/1024,2)</f>
        <v/>
      </c>
      <c r="O14" s="11">
        <f>ROUND(O9*Assumptions!C34*Assumptions!C33/1024,2)</f>
        <v/>
      </c>
      <c r="P14" s="11">
        <f>ROUND(P9*Assumptions!C34*Assumptions!C33/1024,2)</f>
        <v/>
      </c>
      <c r="Q14" s="11">
        <f>ROUND(Q9*Assumptions!C34*Assumptions!C33/1024,2)</f>
        <v/>
      </c>
      <c r="R14" s="11">
        <f>ROUND(R9*Assumptions!C34*Assumptions!C33/1024,2)</f>
        <v/>
      </c>
      <c r="S14" s="11">
        <f>ROUND(S9*Assumptions!C34*Assumptions!C33/1024,2)</f>
        <v/>
      </c>
      <c r="T14" s="11">
        <f>ROUND(T9*Assumptions!C34*Assumptions!C33/1024,2)</f>
        <v/>
      </c>
      <c r="U14" s="11">
        <f>ROUND(U9*Assumptions!C34*Assumptions!C33/1024,2)</f>
        <v/>
      </c>
      <c r="V14" s="11">
        <f>ROUND(V9*Assumptions!C34*Assumptions!C33/1024,2)</f>
        <v/>
      </c>
      <c r="W14" s="11">
        <f>ROUND(W9*Assumptions!C34*Assumptions!C33/1024,2)</f>
        <v/>
      </c>
      <c r="X14" s="11">
        <f>ROUND(X9*Assumptions!C34*Assumptions!C33/1024,2)</f>
        <v/>
      </c>
      <c r="Y14" s="11">
        <f>ROUND(Y9*Assumptions!C34*Assumptions!C33/1024,2)</f>
        <v/>
      </c>
      <c r="Z14" s="11">
        <f>ROUND(Z9*Assumptions!C34*Assumptions!C33/1024,2)</f>
        <v/>
      </c>
    </row>
    <row r="15">
      <c r="B15" s="12" t="inlineStr">
        <is>
          <t>Cumulative Content Stored (GB)</t>
        </is>
      </c>
      <c r="C15" s="23">
        <f>C14</f>
        <v/>
      </c>
      <c r="D15" s="23">
        <f>C15+D14</f>
        <v/>
      </c>
      <c r="E15" s="23">
        <f>D15+E14</f>
        <v/>
      </c>
      <c r="F15" s="23">
        <f>E15+F14</f>
        <v/>
      </c>
      <c r="G15" s="23">
        <f>F15+G14</f>
        <v/>
      </c>
      <c r="H15" s="23">
        <f>G15+H14</f>
        <v/>
      </c>
      <c r="I15" s="23">
        <f>H15+I14</f>
        <v/>
      </c>
      <c r="J15" s="23">
        <f>I15+J14</f>
        <v/>
      </c>
      <c r="K15" s="23">
        <f>J15+K14</f>
        <v/>
      </c>
      <c r="L15" s="23">
        <f>K15+L14</f>
        <v/>
      </c>
      <c r="M15" s="23">
        <f>L15+M14</f>
        <v/>
      </c>
      <c r="N15" s="23">
        <f>M15+N14</f>
        <v/>
      </c>
      <c r="O15" s="23">
        <f>N15+O14</f>
        <v/>
      </c>
      <c r="P15" s="23">
        <f>O15+P14</f>
        <v/>
      </c>
      <c r="Q15" s="23">
        <f>P15+Q14</f>
        <v/>
      </c>
      <c r="R15" s="23">
        <f>Q15+R14</f>
        <v/>
      </c>
      <c r="S15" s="23">
        <f>R15+S14</f>
        <v/>
      </c>
      <c r="T15" s="23">
        <f>S15+T14</f>
        <v/>
      </c>
      <c r="U15" s="23">
        <f>T15+U14</f>
        <v/>
      </c>
      <c r="V15" s="23">
        <f>U15+V14</f>
        <v/>
      </c>
      <c r="W15" s="23">
        <f>V15+W14</f>
        <v/>
      </c>
      <c r="X15" s="23">
        <f>W15+X14</f>
        <v/>
      </c>
      <c r="Y15" s="23">
        <f>X15+Y14</f>
        <v/>
      </c>
      <c r="Z15" s="23">
        <f>Y15+Z14</f>
        <v/>
      </c>
    </row>
    <row r="16">
      <c r="B16" s="5" t="inlineStr">
        <is>
          <t xml:space="preserve">  Cloudflare R2 Storage (GB)</t>
        </is>
      </c>
      <c r="C16" s="24">
        <f>C15</f>
        <v/>
      </c>
      <c r="D16" s="24">
        <f>D15</f>
        <v/>
      </c>
      <c r="E16" s="24">
        <f>E15</f>
        <v/>
      </c>
      <c r="F16" s="24">
        <f>F15</f>
        <v/>
      </c>
      <c r="G16" s="24">
        <f>G15</f>
        <v/>
      </c>
      <c r="H16" s="24">
        <f>H15</f>
        <v/>
      </c>
      <c r="I16" s="24">
        <f>I15</f>
        <v/>
      </c>
      <c r="J16" s="24">
        <f>J15</f>
        <v/>
      </c>
      <c r="K16" s="24">
        <f>K15</f>
        <v/>
      </c>
      <c r="L16" s="24">
        <f>L15</f>
        <v/>
      </c>
      <c r="M16" s="24">
        <f>M15</f>
        <v/>
      </c>
      <c r="N16" s="24">
        <f>N15</f>
        <v/>
      </c>
      <c r="O16" s="24">
        <f>O15</f>
        <v/>
      </c>
      <c r="P16" s="24">
        <f>P15</f>
        <v/>
      </c>
      <c r="Q16" s="24">
        <f>Q15</f>
        <v/>
      </c>
      <c r="R16" s="24">
        <f>R15</f>
        <v/>
      </c>
      <c r="S16" s="24">
        <f>S15</f>
        <v/>
      </c>
      <c r="T16" s="24">
        <f>T15</f>
        <v/>
      </c>
      <c r="U16" s="24">
        <f>U15</f>
        <v/>
      </c>
      <c r="V16" s="24">
        <f>V15</f>
        <v/>
      </c>
      <c r="W16" s="24">
        <f>W15</f>
        <v/>
      </c>
      <c r="X16" s="24">
        <f>X15</f>
        <v/>
      </c>
      <c r="Y16" s="24">
        <f>Y15</f>
        <v/>
      </c>
      <c r="Z16" s="24">
        <f>Z15</f>
        <v/>
      </c>
    </row>
    <row r="17">
      <c r="B17" s="5" t="inlineStr">
        <is>
          <t xml:space="preserve">  Azure Blob Cool Storage (GB)</t>
        </is>
      </c>
      <c r="C17" s="24">
        <f>C15</f>
        <v/>
      </c>
      <c r="D17" s="24">
        <f>D15</f>
        <v/>
      </c>
      <c r="E17" s="24">
        <f>E15</f>
        <v/>
      </c>
      <c r="F17" s="24">
        <f>F15</f>
        <v/>
      </c>
      <c r="G17" s="24">
        <f>G15</f>
        <v/>
      </c>
      <c r="H17" s="24">
        <f>H15</f>
        <v/>
      </c>
      <c r="I17" s="24">
        <f>I15</f>
        <v/>
      </c>
      <c r="J17" s="24">
        <f>J15</f>
        <v/>
      </c>
      <c r="K17" s="24">
        <f>K15</f>
        <v/>
      </c>
      <c r="L17" s="24">
        <f>L15</f>
        <v/>
      </c>
      <c r="M17" s="24">
        <f>M15</f>
        <v/>
      </c>
      <c r="N17" s="24">
        <f>N15</f>
        <v/>
      </c>
      <c r="O17" s="24">
        <f>O15</f>
        <v/>
      </c>
      <c r="P17" s="24">
        <f>P15</f>
        <v/>
      </c>
      <c r="Q17" s="24">
        <f>Q15</f>
        <v/>
      </c>
      <c r="R17" s="24">
        <f>R15</f>
        <v/>
      </c>
      <c r="S17" s="24">
        <f>S15</f>
        <v/>
      </c>
      <c r="T17" s="24">
        <f>T15</f>
        <v/>
      </c>
      <c r="U17" s="24">
        <f>U15</f>
        <v/>
      </c>
      <c r="V17" s="24">
        <f>V15</f>
        <v/>
      </c>
      <c r="W17" s="24">
        <f>W15</f>
        <v/>
      </c>
      <c r="X17" s="24">
        <f>X15</f>
        <v/>
      </c>
      <c r="Y17" s="24">
        <f>Y15</f>
        <v/>
      </c>
      <c r="Z17" s="24">
        <f>Z15</f>
        <v/>
      </c>
    </row>
    <row r="19">
      <c r="B19" s="3" t="inlineStr">
        <is>
          <t>API &amp; STORAGE REQUEST VOLUME</t>
        </is>
      </c>
    </row>
    <row r="20">
      <c r="B20" s="5" t="inlineStr">
        <is>
          <t>Total Charm Playback Views (month)</t>
        </is>
      </c>
      <c r="C20" s="19">
        <f>ROUND(C9*Assumptions!C38+MAX(0,C11-C9)*Assumptions!C39,0)</f>
        <v/>
      </c>
      <c r="D20" s="19">
        <f>ROUND((D9+C9)*Assumptions!C38+MAX(0,D11-(D9+C9))*Assumptions!C39,0)</f>
        <v/>
      </c>
      <c r="E20" s="19">
        <f>ROUND((E9+D9+C9)*Assumptions!C38+MAX(0,E11-(E9+D9+C9))*Assumptions!C39,0)</f>
        <v/>
      </c>
      <c r="F20" s="19">
        <f>ROUND((F9+E9+D9)*Assumptions!C38+MAX(0,F11-(F9+E9+D9))*Assumptions!C39,0)</f>
        <v/>
      </c>
      <c r="G20" s="19">
        <f>ROUND((G9+F9+E9)*Assumptions!C38+MAX(0,G11-(G9+F9+E9))*Assumptions!C39,0)</f>
        <v/>
      </c>
      <c r="H20" s="19">
        <f>ROUND((H9+G9+F9)*Assumptions!C38+MAX(0,H11-(H9+G9+F9))*Assumptions!C39,0)</f>
        <v/>
      </c>
      <c r="I20" s="19">
        <f>ROUND((I9+H9+G9)*Assumptions!C38+MAX(0,I11-(I9+H9+G9))*Assumptions!C39,0)</f>
        <v/>
      </c>
      <c r="J20" s="19">
        <f>ROUND((J9+I9+H9)*Assumptions!C38+MAX(0,J11-(J9+I9+H9))*Assumptions!C39,0)</f>
        <v/>
      </c>
      <c r="K20" s="19">
        <f>ROUND((K9+J9+I9)*Assumptions!C38+MAX(0,K11-(K9+J9+I9))*Assumptions!C39,0)</f>
        <v/>
      </c>
      <c r="L20" s="19">
        <f>ROUND((L9+K9+J9)*Assumptions!C38+MAX(0,L11-(L9+K9+J9))*Assumptions!C39,0)</f>
        <v/>
      </c>
      <c r="M20" s="19">
        <f>ROUND((M9+L9+K9)*Assumptions!C38+MAX(0,M11-(M9+L9+K9))*Assumptions!C39,0)</f>
        <v/>
      </c>
      <c r="N20" s="19">
        <f>ROUND((N9+M9+L9)*Assumptions!C38+MAX(0,N11-(N9+M9+L9))*Assumptions!C39,0)</f>
        <v/>
      </c>
      <c r="O20" s="19">
        <f>ROUND((O9+N9+M9)*Assumptions!C38+MAX(0,O11-(O9+N9+M9))*Assumptions!C39,0)</f>
        <v/>
      </c>
      <c r="P20" s="19">
        <f>ROUND((P9+O9+N9)*Assumptions!C38+MAX(0,P11-(P9+O9+N9))*Assumptions!C39,0)</f>
        <v/>
      </c>
      <c r="Q20" s="19">
        <f>ROUND((Q9+P9+O9)*Assumptions!C38+MAX(0,Q11-(Q9+P9+O9))*Assumptions!C39,0)</f>
        <v/>
      </c>
      <c r="R20" s="19">
        <f>ROUND((R9+Q9+P9)*Assumptions!C38+MAX(0,R11-(R9+Q9+P9))*Assumptions!C39,0)</f>
        <v/>
      </c>
      <c r="S20" s="19">
        <f>ROUND((S9+R9+Q9)*Assumptions!C38+MAX(0,S11-(S9+R9+Q9))*Assumptions!C39,0)</f>
        <v/>
      </c>
      <c r="T20" s="19">
        <f>ROUND((T9+S9+R9)*Assumptions!C38+MAX(0,T11-(T9+S9+R9))*Assumptions!C39,0)</f>
        <v/>
      </c>
      <c r="U20" s="19">
        <f>ROUND((U9+T9+S9)*Assumptions!C38+MAX(0,U11-(U9+T9+S9))*Assumptions!C39,0)</f>
        <v/>
      </c>
      <c r="V20" s="19">
        <f>ROUND((V9+U9+T9)*Assumptions!C38+MAX(0,V11-(V9+U9+T9))*Assumptions!C39,0)</f>
        <v/>
      </c>
      <c r="W20" s="19">
        <f>ROUND((W9+V9+U9)*Assumptions!C38+MAX(0,W11-(W9+V9+U9))*Assumptions!C39,0)</f>
        <v/>
      </c>
      <c r="X20" s="19">
        <f>ROUND((X9+W9+V9)*Assumptions!C38+MAX(0,X11-(X9+W9+V9))*Assumptions!C39,0)</f>
        <v/>
      </c>
      <c r="Y20" s="19">
        <f>ROUND((Y9+X9+W9)*Assumptions!C38+MAX(0,Y11-(Y9+X9+W9))*Assumptions!C39,0)</f>
        <v/>
      </c>
      <c r="Z20" s="19">
        <f>ROUND((Z9+Y9+X9)*Assumptions!C38+MAX(0,Z11-(Z9+Y9+X9))*Assumptions!C39,0)</f>
        <v/>
      </c>
    </row>
    <row r="21">
      <c r="B21" s="5" t="inlineStr">
        <is>
          <t>Glyph Verification API Calls</t>
        </is>
      </c>
      <c r="C21" s="19">
        <f>ROUND(C20*Assumptions!C40,0)</f>
        <v/>
      </c>
      <c r="D21" s="19">
        <f>ROUND(D20*Assumptions!C40,0)</f>
        <v/>
      </c>
      <c r="E21" s="19">
        <f>ROUND(E20*Assumptions!C40,0)</f>
        <v/>
      </c>
      <c r="F21" s="19">
        <f>ROUND(F20*Assumptions!C40,0)</f>
        <v/>
      </c>
      <c r="G21" s="19">
        <f>ROUND(G20*Assumptions!C40,0)</f>
        <v/>
      </c>
      <c r="H21" s="19">
        <f>ROUND(H20*Assumptions!C40,0)</f>
        <v/>
      </c>
      <c r="I21" s="19">
        <f>ROUND(I20*Assumptions!C40,0)</f>
        <v/>
      </c>
      <c r="J21" s="19">
        <f>ROUND(J20*Assumptions!C40,0)</f>
        <v/>
      </c>
      <c r="K21" s="19">
        <f>ROUND(K20*Assumptions!C40,0)</f>
        <v/>
      </c>
      <c r="L21" s="19">
        <f>ROUND(L20*Assumptions!C40,0)</f>
        <v/>
      </c>
      <c r="M21" s="19">
        <f>ROUND(M20*Assumptions!C40,0)</f>
        <v/>
      </c>
      <c r="N21" s="19">
        <f>ROUND(N20*Assumptions!C40,0)</f>
        <v/>
      </c>
      <c r="O21" s="19">
        <f>ROUND(O20*Assumptions!C40,0)</f>
        <v/>
      </c>
      <c r="P21" s="19">
        <f>ROUND(P20*Assumptions!C40,0)</f>
        <v/>
      </c>
      <c r="Q21" s="19">
        <f>ROUND(Q20*Assumptions!C40,0)</f>
        <v/>
      </c>
      <c r="R21" s="19">
        <f>ROUND(R20*Assumptions!C40,0)</f>
        <v/>
      </c>
      <c r="S21" s="19">
        <f>ROUND(S20*Assumptions!C40,0)</f>
        <v/>
      </c>
      <c r="T21" s="19">
        <f>ROUND(T20*Assumptions!C40,0)</f>
        <v/>
      </c>
      <c r="U21" s="19">
        <f>ROUND(U20*Assumptions!C40,0)</f>
        <v/>
      </c>
      <c r="V21" s="19">
        <f>ROUND(V20*Assumptions!C40,0)</f>
        <v/>
      </c>
      <c r="W21" s="19">
        <f>ROUND(W20*Assumptions!C40,0)</f>
        <v/>
      </c>
      <c r="X21" s="19">
        <f>ROUND(X20*Assumptions!C40,0)</f>
        <v/>
      </c>
      <c r="Y21" s="19">
        <f>ROUND(Y20*Assumptions!C40,0)</f>
        <v/>
      </c>
      <c r="Z21" s="19">
        <f>ROUND(Z20*Assumptions!C40,0)</f>
        <v/>
      </c>
    </row>
    <row r="22">
      <c r="B22" s="12" t="inlineStr">
        <is>
          <t>Total Azure Functions Invocations</t>
        </is>
      </c>
      <c r="C22" s="25">
        <f>ROUND((C9*Assumptions!C34*Assumptions!C41)+C20+C21+(C20*0.02),0)</f>
        <v/>
      </c>
      <c r="D22" s="25">
        <f>ROUND((D9*Assumptions!C34*Assumptions!C41)+D20+D21+(D20*0.02),0)</f>
        <v/>
      </c>
      <c r="E22" s="25">
        <f>ROUND((E9*Assumptions!C34*Assumptions!C41)+E20+E21+(E20*0.02),0)</f>
        <v/>
      </c>
      <c r="F22" s="25">
        <f>ROUND((F9*Assumptions!C34*Assumptions!C41)+F20+F21+(F20*0.02),0)</f>
        <v/>
      </c>
      <c r="G22" s="25">
        <f>ROUND((G9*Assumptions!C34*Assumptions!C41)+G20+G21+(G20*0.02),0)</f>
        <v/>
      </c>
      <c r="H22" s="25">
        <f>ROUND((H9*Assumptions!C34*Assumptions!C41)+H20+H21+(H20*0.02),0)</f>
        <v/>
      </c>
      <c r="I22" s="25">
        <f>ROUND((I9*Assumptions!C34*Assumptions!C41)+I20+I21+(I20*0.02),0)</f>
        <v/>
      </c>
      <c r="J22" s="25">
        <f>ROUND((J9*Assumptions!C34*Assumptions!C41)+J20+J21+(J20*0.02),0)</f>
        <v/>
      </c>
      <c r="K22" s="25">
        <f>ROUND((K9*Assumptions!C34*Assumptions!C41)+K20+K21+(K20*0.02),0)</f>
        <v/>
      </c>
      <c r="L22" s="25">
        <f>ROUND((L9*Assumptions!C34*Assumptions!C41)+L20+L21+(L20*0.02),0)</f>
        <v/>
      </c>
      <c r="M22" s="25">
        <f>ROUND((M9*Assumptions!C34*Assumptions!C41)+M20+M21+(M20*0.02),0)</f>
        <v/>
      </c>
      <c r="N22" s="25">
        <f>ROUND((N9*Assumptions!C34*Assumptions!C41)+N20+N21+(N20*0.02),0)</f>
        <v/>
      </c>
      <c r="O22" s="25">
        <f>ROUND((O9*Assumptions!C34*Assumptions!C41)+O20+O21+(O20*0.02),0)</f>
        <v/>
      </c>
      <c r="P22" s="25">
        <f>ROUND((P9*Assumptions!C34*Assumptions!C41)+P20+P21+(P20*0.02),0)</f>
        <v/>
      </c>
      <c r="Q22" s="25">
        <f>ROUND((Q9*Assumptions!C34*Assumptions!C41)+Q20+Q21+(Q20*0.02),0)</f>
        <v/>
      </c>
      <c r="R22" s="25">
        <f>ROUND((R9*Assumptions!C34*Assumptions!C41)+R20+R21+(R20*0.02),0)</f>
        <v/>
      </c>
      <c r="S22" s="25">
        <f>ROUND((S9*Assumptions!C34*Assumptions!C41)+S20+S21+(S20*0.02),0)</f>
        <v/>
      </c>
      <c r="T22" s="25">
        <f>ROUND((T9*Assumptions!C34*Assumptions!C41)+T20+T21+(T20*0.02),0)</f>
        <v/>
      </c>
      <c r="U22" s="25">
        <f>ROUND((U9*Assumptions!C34*Assumptions!C41)+U20+U21+(U20*0.02),0)</f>
        <v/>
      </c>
      <c r="V22" s="25">
        <f>ROUND((V9*Assumptions!C34*Assumptions!C41)+V20+V21+(V20*0.02),0)</f>
        <v/>
      </c>
      <c r="W22" s="25">
        <f>ROUND((W9*Assumptions!C34*Assumptions!C41)+W20+W21+(W20*0.02),0)</f>
        <v/>
      </c>
      <c r="X22" s="25">
        <f>ROUND((X9*Assumptions!C34*Assumptions!C41)+X20+X21+(X20*0.02),0)</f>
        <v/>
      </c>
      <c r="Y22" s="25">
        <f>ROUND((Y9*Assumptions!C34*Assumptions!C41)+Y20+Y21+(Y20*0.02),0)</f>
        <v/>
      </c>
      <c r="Z22" s="25">
        <f>ROUND((Z9*Assumptions!C34*Assumptions!C41)+Z20+Z21+(Z20*0.02),0)</f>
        <v/>
      </c>
    </row>
    <row r="23">
      <c r="B23" s="5" t="inlineStr">
        <is>
          <t>R2 Class A Ops (Writes)</t>
        </is>
      </c>
      <c r="C23" s="19">
        <f>ROUND(C9*Assumptions!C34*2*(1+Assumptions!C35),0)</f>
        <v/>
      </c>
      <c r="D23" s="19">
        <f>ROUND(D9*Assumptions!C34*2*(1+Assumptions!C35),0)</f>
        <v/>
      </c>
      <c r="E23" s="19">
        <f>ROUND(E9*Assumptions!C34*2*(1+Assumptions!C35),0)</f>
        <v/>
      </c>
      <c r="F23" s="19">
        <f>ROUND(F9*Assumptions!C34*2*(1+Assumptions!C35),0)</f>
        <v/>
      </c>
      <c r="G23" s="19">
        <f>ROUND(G9*Assumptions!C34*2*(1+Assumptions!C35),0)</f>
        <v/>
      </c>
      <c r="H23" s="19">
        <f>ROUND(H9*Assumptions!C34*2*(1+Assumptions!C35),0)</f>
        <v/>
      </c>
      <c r="I23" s="19">
        <f>ROUND(I9*Assumptions!C34*2*(1+Assumptions!C35),0)</f>
        <v/>
      </c>
      <c r="J23" s="19">
        <f>ROUND(J9*Assumptions!C34*2*(1+Assumptions!C35),0)</f>
        <v/>
      </c>
      <c r="K23" s="19">
        <f>ROUND(K9*Assumptions!C34*2*(1+Assumptions!C35),0)</f>
        <v/>
      </c>
      <c r="L23" s="19">
        <f>ROUND(L9*Assumptions!C34*2*(1+Assumptions!C35),0)</f>
        <v/>
      </c>
      <c r="M23" s="19">
        <f>ROUND(M9*Assumptions!C34*2*(1+Assumptions!C35),0)</f>
        <v/>
      </c>
      <c r="N23" s="19">
        <f>ROUND(N9*Assumptions!C34*2*(1+Assumptions!C35),0)</f>
        <v/>
      </c>
      <c r="O23" s="19">
        <f>ROUND(O9*Assumptions!C34*2*(1+Assumptions!C35),0)</f>
        <v/>
      </c>
      <c r="P23" s="19">
        <f>ROUND(P9*Assumptions!C34*2*(1+Assumptions!C35),0)</f>
        <v/>
      </c>
      <c r="Q23" s="19">
        <f>ROUND(Q9*Assumptions!C34*2*(1+Assumptions!C35),0)</f>
        <v/>
      </c>
      <c r="R23" s="19">
        <f>ROUND(R9*Assumptions!C34*2*(1+Assumptions!C35),0)</f>
        <v/>
      </c>
      <c r="S23" s="19">
        <f>ROUND(S9*Assumptions!C34*2*(1+Assumptions!C35),0)</f>
        <v/>
      </c>
      <c r="T23" s="19">
        <f>ROUND(T9*Assumptions!C34*2*(1+Assumptions!C35),0)</f>
        <v/>
      </c>
      <c r="U23" s="19">
        <f>ROUND(U9*Assumptions!C34*2*(1+Assumptions!C35),0)</f>
        <v/>
      </c>
      <c r="V23" s="19">
        <f>ROUND(V9*Assumptions!C34*2*(1+Assumptions!C35),0)</f>
        <v/>
      </c>
      <c r="W23" s="19">
        <f>ROUND(W9*Assumptions!C34*2*(1+Assumptions!C35),0)</f>
        <v/>
      </c>
      <c r="X23" s="19">
        <f>ROUND(X9*Assumptions!C34*2*(1+Assumptions!C35),0)</f>
        <v/>
      </c>
      <c r="Y23" s="19">
        <f>ROUND(Y9*Assumptions!C34*2*(1+Assumptions!C35),0)</f>
        <v/>
      </c>
      <c r="Z23" s="19">
        <f>ROUND(Z9*Assumptions!C34*2*(1+Assumptions!C35),0)</f>
        <v/>
      </c>
    </row>
    <row r="24">
      <c r="B24" s="5" t="inlineStr">
        <is>
          <t>R2 Class B Ops (Reads / Playback)</t>
        </is>
      </c>
      <c r="C24" s="19">
        <f>C20</f>
        <v/>
      </c>
      <c r="D24" s="19">
        <f>D20</f>
        <v/>
      </c>
      <c r="E24" s="19">
        <f>E20</f>
        <v/>
      </c>
      <c r="F24" s="19">
        <f>F20</f>
        <v/>
      </c>
      <c r="G24" s="19">
        <f>G20</f>
        <v/>
      </c>
      <c r="H24" s="19">
        <f>H20</f>
        <v/>
      </c>
      <c r="I24" s="19">
        <f>I20</f>
        <v/>
      </c>
      <c r="J24" s="19">
        <f>J20</f>
        <v/>
      </c>
      <c r="K24" s="19">
        <f>K20</f>
        <v/>
      </c>
      <c r="L24" s="19">
        <f>L20</f>
        <v/>
      </c>
      <c r="M24" s="19">
        <f>M20</f>
        <v/>
      </c>
      <c r="N24" s="19">
        <f>N20</f>
        <v/>
      </c>
      <c r="O24" s="19">
        <f>O20</f>
        <v/>
      </c>
      <c r="P24" s="19">
        <f>P20</f>
        <v/>
      </c>
      <c r="Q24" s="19">
        <f>Q20</f>
        <v/>
      </c>
      <c r="R24" s="19">
        <f>R20</f>
        <v/>
      </c>
      <c r="S24" s="19">
        <f>S20</f>
        <v/>
      </c>
      <c r="T24" s="19">
        <f>T20</f>
        <v/>
      </c>
      <c r="U24" s="19">
        <f>U20</f>
        <v/>
      </c>
      <c r="V24" s="19">
        <f>V20</f>
        <v/>
      </c>
      <c r="W24" s="19">
        <f>W20</f>
        <v/>
      </c>
      <c r="X24" s="19">
        <f>X20</f>
        <v/>
      </c>
      <c r="Y24" s="19">
        <f>Y20</f>
        <v/>
      </c>
      <c r="Z24" s="19">
        <f>Z20</f>
        <v/>
      </c>
    </row>
    <row r="25">
      <c r="B25" s="5" t="inlineStr">
        <is>
          <t>Azure Blob Write Ops (Backup Uploads)</t>
        </is>
      </c>
      <c r="C25" s="19">
        <f>C23</f>
        <v/>
      </c>
      <c r="D25" s="19">
        <f>D23</f>
        <v/>
      </c>
      <c r="E25" s="19">
        <f>E23</f>
        <v/>
      </c>
      <c r="F25" s="19">
        <f>F23</f>
        <v/>
      </c>
      <c r="G25" s="19">
        <f>G23</f>
        <v/>
      </c>
      <c r="H25" s="19">
        <f>H23</f>
        <v/>
      </c>
      <c r="I25" s="19">
        <f>I23</f>
        <v/>
      </c>
      <c r="J25" s="19">
        <f>J23</f>
        <v/>
      </c>
      <c r="K25" s="19">
        <f>K23</f>
        <v/>
      </c>
      <c r="L25" s="19">
        <f>L23</f>
        <v/>
      </c>
      <c r="M25" s="19">
        <f>M23</f>
        <v/>
      </c>
      <c r="N25" s="19">
        <f>N23</f>
        <v/>
      </c>
      <c r="O25" s="19">
        <f>O23</f>
        <v/>
      </c>
      <c r="P25" s="19">
        <f>P23</f>
        <v/>
      </c>
      <c r="Q25" s="19">
        <f>Q23</f>
        <v/>
      </c>
      <c r="R25" s="19">
        <f>R23</f>
        <v/>
      </c>
      <c r="S25" s="19">
        <f>S23</f>
        <v/>
      </c>
      <c r="T25" s="19">
        <f>T23</f>
        <v/>
      </c>
      <c r="U25" s="19">
        <f>U23</f>
        <v/>
      </c>
      <c r="V25" s="19">
        <f>V23</f>
        <v/>
      </c>
      <c r="W25" s="19">
        <f>W23</f>
        <v/>
      </c>
      <c r="X25" s="19">
        <f>X23</f>
        <v/>
      </c>
      <c r="Y25" s="19">
        <f>Y23</f>
        <v/>
      </c>
      <c r="Z25" s="19">
        <f>Z23</f>
        <v/>
      </c>
    </row>
    <row r="26">
      <c r="B26" s="5" t="inlineStr">
        <is>
          <t>Azure Blob Read Ops (Fallback — est 2%)</t>
        </is>
      </c>
      <c r="C26" s="19">
        <f>ROUND(C20*0.02,0)</f>
        <v/>
      </c>
      <c r="D26" s="19">
        <f>ROUND(D20*0.02,0)</f>
        <v/>
      </c>
      <c r="E26" s="19">
        <f>ROUND(E20*0.02,0)</f>
        <v/>
      </c>
      <c r="F26" s="19">
        <f>ROUND(F20*0.02,0)</f>
        <v/>
      </c>
      <c r="G26" s="19">
        <f>ROUND(G20*0.02,0)</f>
        <v/>
      </c>
      <c r="H26" s="19">
        <f>ROUND(H20*0.02,0)</f>
        <v/>
      </c>
      <c r="I26" s="19">
        <f>ROUND(I20*0.02,0)</f>
        <v/>
      </c>
      <c r="J26" s="19">
        <f>ROUND(J20*0.02,0)</f>
        <v/>
      </c>
      <c r="K26" s="19">
        <f>ROUND(K20*0.02,0)</f>
        <v/>
      </c>
      <c r="L26" s="19">
        <f>ROUND(L20*0.02,0)</f>
        <v/>
      </c>
      <c r="M26" s="19">
        <f>ROUND(M20*0.02,0)</f>
        <v/>
      </c>
      <c r="N26" s="19">
        <f>ROUND(N20*0.02,0)</f>
        <v/>
      </c>
      <c r="O26" s="19">
        <f>ROUND(O20*0.02,0)</f>
        <v/>
      </c>
      <c r="P26" s="19">
        <f>ROUND(P20*0.02,0)</f>
        <v/>
      </c>
      <c r="Q26" s="19">
        <f>ROUND(Q20*0.02,0)</f>
        <v/>
      </c>
      <c r="R26" s="19">
        <f>ROUND(R20*0.02,0)</f>
        <v/>
      </c>
      <c r="S26" s="19">
        <f>ROUND(S20*0.02,0)</f>
        <v/>
      </c>
      <c r="T26" s="19">
        <f>ROUND(T20*0.02,0)</f>
        <v/>
      </c>
      <c r="U26" s="19">
        <f>ROUND(U20*0.02,0)</f>
        <v/>
      </c>
      <c r="V26" s="19">
        <f>ROUND(V20*0.02,0)</f>
        <v/>
      </c>
      <c r="W26" s="19">
        <f>ROUND(W20*0.02,0)</f>
        <v/>
      </c>
      <c r="X26" s="19">
        <f>ROUND(X20*0.02,0)</f>
        <v/>
      </c>
      <c r="Y26" s="19">
        <f>ROUND(Y20*0.02,0)</f>
        <v/>
      </c>
      <c r="Z26" s="19">
        <f>ROUND(Z20*0.02,0)</f>
        <v/>
      </c>
    </row>
    <row r="27">
      <c r="B27" s="12" t="inlineStr">
        <is>
          <t>Azure Table Transactions (Total)</t>
        </is>
      </c>
      <c r="C27" s="25">
        <f>ROUND(C9*Assumptions!C34*Assumptions!C42+C20*Assumptions!C43+C21*2,0)</f>
        <v/>
      </c>
      <c r="D27" s="25">
        <f>ROUND(D9*Assumptions!C34*Assumptions!C42+D20*Assumptions!C43+D21*2,0)</f>
        <v/>
      </c>
      <c r="E27" s="25">
        <f>ROUND(E9*Assumptions!C34*Assumptions!C42+E20*Assumptions!C43+E21*2,0)</f>
        <v/>
      </c>
      <c r="F27" s="25">
        <f>ROUND(F9*Assumptions!C34*Assumptions!C42+F20*Assumptions!C43+F21*2,0)</f>
        <v/>
      </c>
      <c r="G27" s="25">
        <f>ROUND(G9*Assumptions!C34*Assumptions!C42+G20*Assumptions!C43+G21*2,0)</f>
        <v/>
      </c>
      <c r="H27" s="25">
        <f>ROUND(H9*Assumptions!C34*Assumptions!C42+H20*Assumptions!C43+H21*2,0)</f>
        <v/>
      </c>
      <c r="I27" s="25">
        <f>ROUND(I9*Assumptions!C34*Assumptions!C42+I20*Assumptions!C43+I21*2,0)</f>
        <v/>
      </c>
      <c r="J27" s="25">
        <f>ROUND(J9*Assumptions!C34*Assumptions!C42+J20*Assumptions!C43+J21*2,0)</f>
        <v/>
      </c>
      <c r="K27" s="25">
        <f>ROUND(K9*Assumptions!C34*Assumptions!C42+K20*Assumptions!C43+K21*2,0)</f>
        <v/>
      </c>
      <c r="L27" s="25">
        <f>ROUND(L9*Assumptions!C34*Assumptions!C42+L20*Assumptions!C43+L21*2,0)</f>
        <v/>
      </c>
      <c r="M27" s="25">
        <f>ROUND(M9*Assumptions!C34*Assumptions!C42+M20*Assumptions!C43+M21*2,0)</f>
        <v/>
      </c>
      <c r="N27" s="25">
        <f>ROUND(N9*Assumptions!C34*Assumptions!C42+N20*Assumptions!C43+N21*2,0)</f>
        <v/>
      </c>
      <c r="O27" s="25">
        <f>ROUND(O9*Assumptions!C34*Assumptions!C42+O20*Assumptions!C43+O21*2,0)</f>
        <v/>
      </c>
      <c r="P27" s="25">
        <f>ROUND(P9*Assumptions!C34*Assumptions!C42+P20*Assumptions!C43+P21*2,0)</f>
        <v/>
      </c>
      <c r="Q27" s="25">
        <f>ROUND(Q9*Assumptions!C34*Assumptions!C42+Q20*Assumptions!C43+Q21*2,0)</f>
        <v/>
      </c>
      <c r="R27" s="25">
        <f>ROUND(R9*Assumptions!C34*Assumptions!C42+R20*Assumptions!C43+R21*2,0)</f>
        <v/>
      </c>
      <c r="S27" s="25">
        <f>ROUND(S9*Assumptions!C34*Assumptions!C42+S20*Assumptions!C43+S21*2,0)</f>
        <v/>
      </c>
      <c r="T27" s="25">
        <f>ROUND(T9*Assumptions!C34*Assumptions!C42+T20*Assumptions!C43+T21*2,0)</f>
        <v/>
      </c>
      <c r="U27" s="25">
        <f>ROUND(U9*Assumptions!C34*Assumptions!C42+U20*Assumptions!C43+U21*2,0)</f>
        <v/>
      </c>
      <c r="V27" s="25">
        <f>ROUND(V9*Assumptions!C34*Assumptions!C42+V20*Assumptions!C43+V21*2,0)</f>
        <v/>
      </c>
      <c r="W27" s="25">
        <f>ROUND(W9*Assumptions!C34*Assumptions!C42+W20*Assumptions!C43+W21*2,0)</f>
        <v/>
      </c>
      <c r="X27" s="25">
        <f>ROUND(X9*Assumptions!C34*Assumptions!C42+X20*Assumptions!C43+X21*2,0)</f>
        <v/>
      </c>
      <c r="Y27" s="25">
        <f>ROUND(Y9*Assumptions!C34*Assumptions!C42+Y20*Assumptions!C43+Y21*2,0)</f>
        <v/>
      </c>
      <c r="Z27" s="25">
        <f>ROUND(Z9*Assumptions!C34*Assumptions!C42+Z20*Assumptions!C43+Z21*2,0)</f>
        <v/>
      </c>
    </row>
    <row r="28">
      <c r="B28" s="5" t="inlineStr">
        <is>
          <t>R2 Playback Bandwidth (GB) — FREE egress</t>
        </is>
      </c>
      <c r="C28" s="24">
        <f>ROUND(C20*Assumptions!C33/1024,1)</f>
        <v/>
      </c>
      <c r="D28" s="24">
        <f>ROUND(D20*Assumptions!C33/1024,1)</f>
        <v/>
      </c>
      <c r="E28" s="24">
        <f>ROUND(E20*Assumptions!C33/1024,1)</f>
        <v/>
      </c>
      <c r="F28" s="24">
        <f>ROUND(F20*Assumptions!C33/1024,1)</f>
        <v/>
      </c>
      <c r="G28" s="24">
        <f>ROUND(G20*Assumptions!C33/1024,1)</f>
        <v/>
      </c>
      <c r="H28" s="24">
        <f>ROUND(H20*Assumptions!C33/1024,1)</f>
        <v/>
      </c>
      <c r="I28" s="24">
        <f>ROUND(I20*Assumptions!C33/1024,1)</f>
        <v/>
      </c>
      <c r="J28" s="24">
        <f>ROUND(J20*Assumptions!C33/1024,1)</f>
        <v/>
      </c>
      <c r="K28" s="24">
        <f>ROUND(K20*Assumptions!C33/1024,1)</f>
        <v/>
      </c>
      <c r="L28" s="24">
        <f>ROUND(L20*Assumptions!C33/1024,1)</f>
        <v/>
      </c>
      <c r="M28" s="24">
        <f>ROUND(M20*Assumptions!C33/1024,1)</f>
        <v/>
      </c>
      <c r="N28" s="24">
        <f>ROUND(N20*Assumptions!C33/1024,1)</f>
        <v/>
      </c>
      <c r="O28" s="24">
        <f>ROUND(O20*Assumptions!C33/1024,1)</f>
        <v/>
      </c>
      <c r="P28" s="24">
        <f>ROUND(P20*Assumptions!C33/1024,1)</f>
        <v/>
      </c>
      <c r="Q28" s="24">
        <f>ROUND(Q20*Assumptions!C33/1024,1)</f>
        <v/>
      </c>
      <c r="R28" s="24">
        <f>ROUND(R20*Assumptions!C33/1024,1)</f>
        <v/>
      </c>
      <c r="S28" s="24">
        <f>ROUND(S20*Assumptions!C33/1024,1)</f>
        <v/>
      </c>
      <c r="T28" s="24">
        <f>ROUND(T20*Assumptions!C33/1024,1)</f>
        <v/>
      </c>
      <c r="U28" s="24">
        <f>ROUND(U20*Assumptions!C33/1024,1)</f>
        <v/>
      </c>
      <c r="V28" s="24">
        <f>ROUND(V20*Assumptions!C33/1024,1)</f>
        <v/>
      </c>
      <c r="W28" s="24">
        <f>ROUND(W20*Assumptions!C33/1024,1)</f>
        <v/>
      </c>
      <c r="X28" s="24">
        <f>ROUND(X20*Assumptions!C33/1024,1)</f>
        <v/>
      </c>
      <c r="Y28" s="24">
        <f>ROUND(Y20*Assumptions!C33/1024,1)</f>
        <v/>
      </c>
      <c r="Z28" s="24">
        <f>ROUND(Z20*Assumptions!C33/1024,1)</f>
        <v/>
      </c>
    </row>
    <row r="30">
      <c r="B30" s="3" t="inlineStr">
        <is>
          <t>INFRASTRUCTURE COST BREAKDOWN</t>
        </is>
      </c>
    </row>
    <row r="31">
      <c r="B31" s="5" t="inlineStr">
        <is>
          <t xml:space="preserve">  Azure Blob: Storage Cost</t>
        </is>
      </c>
      <c r="C31" s="26">
        <f>C17*Assumptions!C47</f>
        <v/>
      </c>
      <c r="D31" s="26">
        <f>D17*Assumptions!C47</f>
        <v/>
      </c>
      <c r="E31" s="26">
        <f>E17*Assumptions!C47</f>
        <v/>
      </c>
      <c r="F31" s="26">
        <f>F17*Assumptions!C47</f>
        <v/>
      </c>
      <c r="G31" s="26">
        <f>G17*Assumptions!C47</f>
        <v/>
      </c>
      <c r="H31" s="26">
        <f>H17*Assumptions!C47</f>
        <v/>
      </c>
      <c r="I31" s="26">
        <f>I17*Assumptions!C47</f>
        <v/>
      </c>
      <c r="J31" s="26">
        <f>J17*Assumptions!C47</f>
        <v/>
      </c>
      <c r="K31" s="26">
        <f>K17*Assumptions!C47</f>
        <v/>
      </c>
      <c r="L31" s="26">
        <f>L17*Assumptions!C47</f>
        <v/>
      </c>
      <c r="M31" s="26">
        <f>M17*Assumptions!C47</f>
        <v/>
      </c>
      <c r="N31" s="26">
        <f>N17*Assumptions!C47</f>
        <v/>
      </c>
      <c r="O31" s="26">
        <f>O17*Assumptions!C47</f>
        <v/>
      </c>
      <c r="P31" s="26">
        <f>P17*Assumptions!C47</f>
        <v/>
      </c>
      <c r="Q31" s="26">
        <f>Q17*Assumptions!C47</f>
        <v/>
      </c>
      <c r="R31" s="26">
        <f>R17*Assumptions!C47</f>
        <v/>
      </c>
      <c r="S31" s="26">
        <f>S17*Assumptions!C47</f>
        <v/>
      </c>
      <c r="T31" s="26">
        <f>T17*Assumptions!C47</f>
        <v/>
      </c>
      <c r="U31" s="26">
        <f>U17*Assumptions!C47</f>
        <v/>
      </c>
      <c r="V31" s="26">
        <f>V17*Assumptions!C47</f>
        <v/>
      </c>
      <c r="W31" s="26">
        <f>W17*Assumptions!C47</f>
        <v/>
      </c>
      <c r="X31" s="26">
        <f>X17*Assumptions!C47</f>
        <v/>
      </c>
      <c r="Y31" s="26">
        <f>Y17*Assumptions!C47</f>
        <v/>
      </c>
      <c r="Z31" s="26">
        <f>Z17*Assumptions!C47</f>
        <v/>
      </c>
    </row>
    <row r="32">
      <c r="B32" s="5" t="inlineStr">
        <is>
          <t xml:space="preserve">  Azure Blob: Write Operations</t>
        </is>
      </c>
      <c r="C32" s="26">
        <f>(C25/10000)*Assumptions!C48</f>
        <v/>
      </c>
      <c r="D32" s="26">
        <f>(D25/10000)*Assumptions!C48</f>
        <v/>
      </c>
      <c r="E32" s="26">
        <f>(E25/10000)*Assumptions!C48</f>
        <v/>
      </c>
      <c r="F32" s="26">
        <f>(F25/10000)*Assumptions!C48</f>
        <v/>
      </c>
      <c r="G32" s="26">
        <f>(G25/10000)*Assumptions!C48</f>
        <v/>
      </c>
      <c r="H32" s="26">
        <f>(H25/10000)*Assumptions!C48</f>
        <v/>
      </c>
      <c r="I32" s="26">
        <f>(I25/10000)*Assumptions!C48</f>
        <v/>
      </c>
      <c r="J32" s="26">
        <f>(J25/10000)*Assumptions!C48</f>
        <v/>
      </c>
      <c r="K32" s="26">
        <f>(K25/10000)*Assumptions!C48</f>
        <v/>
      </c>
      <c r="L32" s="26">
        <f>(L25/10000)*Assumptions!C48</f>
        <v/>
      </c>
      <c r="M32" s="26">
        <f>(M25/10000)*Assumptions!C48</f>
        <v/>
      </c>
      <c r="N32" s="26">
        <f>(N25/10000)*Assumptions!C48</f>
        <v/>
      </c>
      <c r="O32" s="26">
        <f>(O25/10000)*Assumptions!C48</f>
        <v/>
      </c>
      <c r="P32" s="26">
        <f>(P25/10000)*Assumptions!C48</f>
        <v/>
      </c>
      <c r="Q32" s="26">
        <f>(Q25/10000)*Assumptions!C48</f>
        <v/>
      </c>
      <c r="R32" s="26">
        <f>(R25/10000)*Assumptions!C48</f>
        <v/>
      </c>
      <c r="S32" s="26">
        <f>(S25/10000)*Assumptions!C48</f>
        <v/>
      </c>
      <c r="T32" s="26">
        <f>(T25/10000)*Assumptions!C48</f>
        <v/>
      </c>
      <c r="U32" s="26">
        <f>(U25/10000)*Assumptions!C48</f>
        <v/>
      </c>
      <c r="V32" s="26">
        <f>(V25/10000)*Assumptions!C48</f>
        <v/>
      </c>
      <c r="W32" s="26">
        <f>(W25/10000)*Assumptions!C48</f>
        <v/>
      </c>
      <c r="X32" s="26">
        <f>(X25/10000)*Assumptions!C48</f>
        <v/>
      </c>
      <c r="Y32" s="26">
        <f>(Y25/10000)*Assumptions!C48</f>
        <v/>
      </c>
      <c r="Z32" s="26">
        <f>(Z25/10000)*Assumptions!C48</f>
        <v/>
      </c>
    </row>
    <row r="33">
      <c r="B33" s="5" t="inlineStr">
        <is>
          <t xml:space="preserve">  Azure Blob: Read Ops (Fallback)</t>
        </is>
      </c>
      <c r="C33" s="26">
        <f>(C26/10000)*Assumptions!C49</f>
        <v/>
      </c>
      <c r="D33" s="26">
        <f>(D26/10000)*Assumptions!C49</f>
        <v/>
      </c>
      <c r="E33" s="26">
        <f>(E26/10000)*Assumptions!C49</f>
        <v/>
      </c>
      <c r="F33" s="26">
        <f>(F26/10000)*Assumptions!C49</f>
        <v/>
      </c>
      <c r="G33" s="26">
        <f>(G26/10000)*Assumptions!C49</f>
        <v/>
      </c>
      <c r="H33" s="26">
        <f>(H26/10000)*Assumptions!C49</f>
        <v/>
      </c>
      <c r="I33" s="26">
        <f>(I26/10000)*Assumptions!C49</f>
        <v/>
      </c>
      <c r="J33" s="26">
        <f>(J26/10000)*Assumptions!C49</f>
        <v/>
      </c>
      <c r="K33" s="26">
        <f>(K26/10000)*Assumptions!C49</f>
        <v/>
      </c>
      <c r="L33" s="26">
        <f>(L26/10000)*Assumptions!C49</f>
        <v/>
      </c>
      <c r="M33" s="26">
        <f>(M26/10000)*Assumptions!C49</f>
        <v/>
      </c>
      <c r="N33" s="26">
        <f>(N26/10000)*Assumptions!C49</f>
        <v/>
      </c>
      <c r="O33" s="26">
        <f>(O26/10000)*Assumptions!C49</f>
        <v/>
      </c>
      <c r="P33" s="26">
        <f>(P26/10000)*Assumptions!C49</f>
        <v/>
      </c>
      <c r="Q33" s="26">
        <f>(Q26/10000)*Assumptions!C49</f>
        <v/>
      </c>
      <c r="R33" s="26">
        <f>(R26/10000)*Assumptions!C49</f>
        <v/>
      </c>
      <c r="S33" s="26">
        <f>(S26/10000)*Assumptions!C49</f>
        <v/>
      </c>
      <c r="T33" s="26">
        <f>(T26/10000)*Assumptions!C49</f>
        <v/>
      </c>
      <c r="U33" s="26">
        <f>(U26/10000)*Assumptions!C49</f>
        <v/>
      </c>
      <c r="V33" s="26">
        <f>(V26/10000)*Assumptions!C49</f>
        <v/>
      </c>
      <c r="W33" s="26">
        <f>(W26/10000)*Assumptions!C49</f>
        <v/>
      </c>
      <c r="X33" s="26">
        <f>(X26/10000)*Assumptions!C49</f>
        <v/>
      </c>
      <c r="Y33" s="26">
        <f>(Y26/10000)*Assumptions!C49</f>
        <v/>
      </c>
      <c r="Z33" s="26">
        <f>(Z26/10000)*Assumptions!C49</f>
        <v/>
      </c>
    </row>
    <row r="34">
      <c r="B34" s="5" t="inlineStr">
        <is>
          <t xml:space="preserve">  Azure Blob: Data Retrieval (Fallback)</t>
        </is>
      </c>
      <c r="C34" s="26">
        <f>(C26*Assumptions!C33/1024)*Assumptions!C50</f>
        <v/>
      </c>
      <c r="D34" s="26">
        <f>(D26*Assumptions!C33/1024)*Assumptions!C50</f>
        <v/>
      </c>
      <c r="E34" s="26">
        <f>(E26*Assumptions!C33/1024)*Assumptions!C50</f>
        <v/>
      </c>
      <c r="F34" s="26">
        <f>(F26*Assumptions!C33/1024)*Assumptions!C50</f>
        <v/>
      </c>
      <c r="G34" s="26">
        <f>(G26*Assumptions!C33/1024)*Assumptions!C50</f>
        <v/>
      </c>
      <c r="H34" s="26">
        <f>(H26*Assumptions!C33/1024)*Assumptions!C50</f>
        <v/>
      </c>
      <c r="I34" s="26">
        <f>(I26*Assumptions!C33/1024)*Assumptions!C50</f>
        <v/>
      </c>
      <c r="J34" s="26">
        <f>(J26*Assumptions!C33/1024)*Assumptions!C50</f>
        <v/>
      </c>
      <c r="K34" s="26">
        <f>(K26*Assumptions!C33/1024)*Assumptions!C50</f>
        <v/>
      </c>
      <c r="L34" s="26">
        <f>(L26*Assumptions!C33/1024)*Assumptions!C50</f>
        <v/>
      </c>
      <c r="M34" s="26">
        <f>(M26*Assumptions!C33/1024)*Assumptions!C50</f>
        <v/>
      </c>
      <c r="N34" s="26">
        <f>(N26*Assumptions!C33/1024)*Assumptions!C50</f>
        <v/>
      </c>
      <c r="O34" s="26">
        <f>(O26*Assumptions!C33/1024)*Assumptions!C50</f>
        <v/>
      </c>
      <c r="P34" s="26">
        <f>(P26*Assumptions!C33/1024)*Assumptions!C50</f>
        <v/>
      </c>
      <c r="Q34" s="26">
        <f>(Q26*Assumptions!C33/1024)*Assumptions!C50</f>
        <v/>
      </c>
      <c r="R34" s="26">
        <f>(R26*Assumptions!C33/1024)*Assumptions!C50</f>
        <v/>
      </c>
      <c r="S34" s="26">
        <f>(S26*Assumptions!C33/1024)*Assumptions!C50</f>
        <v/>
      </c>
      <c r="T34" s="26">
        <f>(T26*Assumptions!C33/1024)*Assumptions!C50</f>
        <v/>
      </c>
      <c r="U34" s="26">
        <f>(U26*Assumptions!C33/1024)*Assumptions!C50</f>
        <v/>
      </c>
      <c r="V34" s="26">
        <f>(V26*Assumptions!C33/1024)*Assumptions!C50</f>
        <v/>
      </c>
      <c r="W34" s="26">
        <f>(W26*Assumptions!C33/1024)*Assumptions!C50</f>
        <v/>
      </c>
      <c r="X34" s="26">
        <f>(X26*Assumptions!C33/1024)*Assumptions!C50</f>
        <v/>
      </c>
      <c r="Y34" s="26">
        <f>(Y26*Assumptions!C33/1024)*Assumptions!C50</f>
        <v/>
      </c>
      <c r="Z34" s="26">
        <f>(Z26*Assumptions!C33/1024)*Assumptions!C50</f>
        <v/>
      </c>
    </row>
    <row r="35">
      <c r="B35" s="12" t="inlineStr">
        <is>
          <t>Azure Blob Total</t>
        </is>
      </c>
      <c r="C35" s="7">
        <f>C31+C32+C33+C34</f>
        <v/>
      </c>
      <c r="D35" s="7">
        <f>D31+D32+D33+D34</f>
        <v/>
      </c>
      <c r="E35" s="7">
        <f>E31+E32+E33+E34</f>
        <v/>
      </c>
      <c r="F35" s="7">
        <f>F31+F32+F33+F34</f>
        <v/>
      </c>
      <c r="G35" s="7">
        <f>G31+G32+G33+G34</f>
        <v/>
      </c>
      <c r="H35" s="7">
        <f>H31+H32+H33+H34</f>
        <v/>
      </c>
      <c r="I35" s="7">
        <f>I31+I32+I33+I34</f>
        <v/>
      </c>
      <c r="J35" s="7">
        <f>J31+J32+J33+J34</f>
        <v/>
      </c>
      <c r="K35" s="7">
        <f>K31+K32+K33+K34</f>
        <v/>
      </c>
      <c r="L35" s="7">
        <f>L31+L32+L33+L34</f>
        <v/>
      </c>
      <c r="M35" s="7">
        <f>M31+M32+M33+M34</f>
        <v/>
      </c>
      <c r="N35" s="7">
        <f>N31+N32+N33+N34</f>
        <v/>
      </c>
      <c r="O35" s="7">
        <f>O31+O32+O33+O34</f>
        <v/>
      </c>
      <c r="P35" s="7">
        <f>P31+P32+P33+P34</f>
        <v/>
      </c>
      <c r="Q35" s="7">
        <f>Q31+Q32+Q33+Q34</f>
        <v/>
      </c>
      <c r="R35" s="7">
        <f>R31+R32+R33+R34</f>
        <v/>
      </c>
      <c r="S35" s="7">
        <f>S31+S32+S33+S34</f>
        <v/>
      </c>
      <c r="T35" s="7">
        <f>T31+T32+T33+T34</f>
        <v/>
      </c>
      <c r="U35" s="7">
        <f>U31+U32+U33+U34</f>
        <v/>
      </c>
      <c r="V35" s="7">
        <f>V31+V32+V33+V34</f>
        <v/>
      </c>
      <c r="W35" s="7">
        <f>W31+W32+W33+W34</f>
        <v/>
      </c>
      <c r="X35" s="7">
        <f>X31+X32+X33+X34</f>
        <v/>
      </c>
      <c r="Y35" s="7">
        <f>Y31+Y32+Y33+Y34</f>
        <v/>
      </c>
      <c r="Z35" s="7">
        <f>Z31+Z32+Z33+Z34</f>
        <v/>
      </c>
    </row>
    <row r="36">
      <c r="B36" s="5" t="inlineStr">
        <is>
          <t xml:space="preserve">  R2: Storage Cost</t>
        </is>
      </c>
      <c r="C36" s="26">
        <f>MAX(0,C16-Assumptions!C59)*Assumptions!C55</f>
        <v/>
      </c>
      <c r="D36" s="26">
        <f>MAX(0,D16-Assumptions!C59)*Assumptions!C55</f>
        <v/>
      </c>
      <c r="E36" s="26">
        <f>MAX(0,E16-Assumptions!C59)*Assumptions!C55</f>
        <v/>
      </c>
      <c r="F36" s="26">
        <f>MAX(0,F16-Assumptions!C59)*Assumptions!C55</f>
        <v/>
      </c>
      <c r="G36" s="26">
        <f>MAX(0,G16-Assumptions!C59)*Assumptions!C55</f>
        <v/>
      </c>
      <c r="H36" s="26">
        <f>MAX(0,H16-Assumptions!C59)*Assumptions!C55</f>
        <v/>
      </c>
      <c r="I36" s="26">
        <f>MAX(0,I16-Assumptions!C59)*Assumptions!C55</f>
        <v/>
      </c>
      <c r="J36" s="26">
        <f>MAX(0,J16-Assumptions!C59)*Assumptions!C55</f>
        <v/>
      </c>
      <c r="K36" s="26">
        <f>MAX(0,K16-Assumptions!C59)*Assumptions!C55</f>
        <v/>
      </c>
      <c r="L36" s="26">
        <f>MAX(0,L16-Assumptions!C59)*Assumptions!C55</f>
        <v/>
      </c>
      <c r="M36" s="26">
        <f>MAX(0,M16-Assumptions!C59)*Assumptions!C55</f>
        <v/>
      </c>
      <c r="N36" s="26">
        <f>MAX(0,N16-Assumptions!C59)*Assumptions!C55</f>
        <v/>
      </c>
      <c r="O36" s="26">
        <f>MAX(0,O16-Assumptions!C59)*Assumptions!C55</f>
        <v/>
      </c>
      <c r="P36" s="26">
        <f>MAX(0,P16-Assumptions!C59)*Assumptions!C55</f>
        <v/>
      </c>
      <c r="Q36" s="26">
        <f>MAX(0,Q16-Assumptions!C59)*Assumptions!C55</f>
        <v/>
      </c>
      <c r="R36" s="26">
        <f>MAX(0,R16-Assumptions!C59)*Assumptions!C55</f>
        <v/>
      </c>
      <c r="S36" s="26">
        <f>MAX(0,S16-Assumptions!C59)*Assumptions!C55</f>
        <v/>
      </c>
      <c r="T36" s="26">
        <f>MAX(0,T16-Assumptions!C59)*Assumptions!C55</f>
        <v/>
      </c>
      <c r="U36" s="26">
        <f>MAX(0,U16-Assumptions!C59)*Assumptions!C55</f>
        <v/>
      </c>
      <c r="V36" s="26">
        <f>MAX(0,V16-Assumptions!C59)*Assumptions!C55</f>
        <v/>
      </c>
      <c r="W36" s="26">
        <f>MAX(0,W16-Assumptions!C59)*Assumptions!C55</f>
        <v/>
      </c>
      <c r="X36" s="26">
        <f>MAX(0,X16-Assumptions!C59)*Assumptions!C55</f>
        <v/>
      </c>
      <c r="Y36" s="26">
        <f>MAX(0,Y16-Assumptions!C59)*Assumptions!C55</f>
        <v/>
      </c>
      <c r="Z36" s="26">
        <f>MAX(0,Z16-Assumptions!C59)*Assumptions!C55</f>
        <v/>
      </c>
    </row>
    <row r="37">
      <c r="B37" s="5" t="inlineStr">
        <is>
          <t xml:space="preserve">  R2: Class A Ops (Writes)</t>
        </is>
      </c>
      <c r="C37" s="26">
        <f>MAX(0,C23-10000000)*Assumptions!C56/1000000</f>
        <v/>
      </c>
      <c r="D37" s="26">
        <f>MAX(0,D23-10000000)*Assumptions!C56/1000000</f>
        <v/>
      </c>
      <c r="E37" s="26">
        <f>MAX(0,E23-10000000)*Assumptions!C56/1000000</f>
        <v/>
      </c>
      <c r="F37" s="26">
        <f>MAX(0,F23-10000000)*Assumptions!C56/1000000</f>
        <v/>
      </c>
      <c r="G37" s="26">
        <f>MAX(0,G23-10000000)*Assumptions!C56/1000000</f>
        <v/>
      </c>
      <c r="H37" s="26">
        <f>MAX(0,H23-10000000)*Assumptions!C56/1000000</f>
        <v/>
      </c>
      <c r="I37" s="26">
        <f>MAX(0,I23-10000000)*Assumptions!C56/1000000</f>
        <v/>
      </c>
      <c r="J37" s="26">
        <f>MAX(0,J23-10000000)*Assumptions!C56/1000000</f>
        <v/>
      </c>
      <c r="K37" s="26">
        <f>MAX(0,K23-10000000)*Assumptions!C56/1000000</f>
        <v/>
      </c>
      <c r="L37" s="26">
        <f>MAX(0,L23-10000000)*Assumptions!C56/1000000</f>
        <v/>
      </c>
      <c r="M37" s="26">
        <f>MAX(0,M23-10000000)*Assumptions!C56/1000000</f>
        <v/>
      </c>
      <c r="N37" s="26">
        <f>MAX(0,N23-10000000)*Assumptions!C56/1000000</f>
        <v/>
      </c>
      <c r="O37" s="26">
        <f>MAX(0,O23-10000000)*Assumptions!C56/1000000</f>
        <v/>
      </c>
      <c r="P37" s="26">
        <f>MAX(0,P23-10000000)*Assumptions!C56/1000000</f>
        <v/>
      </c>
      <c r="Q37" s="26">
        <f>MAX(0,Q23-10000000)*Assumptions!C56/1000000</f>
        <v/>
      </c>
      <c r="R37" s="26">
        <f>MAX(0,R23-10000000)*Assumptions!C56/1000000</f>
        <v/>
      </c>
      <c r="S37" s="26">
        <f>MAX(0,S23-10000000)*Assumptions!C56/1000000</f>
        <v/>
      </c>
      <c r="T37" s="26">
        <f>MAX(0,T23-10000000)*Assumptions!C56/1000000</f>
        <v/>
      </c>
      <c r="U37" s="26">
        <f>MAX(0,U23-10000000)*Assumptions!C56/1000000</f>
        <v/>
      </c>
      <c r="V37" s="26">
        <f>MAX(0,V23-10000000)*Assumptions!C56/1000000</f>
        <v/>
      </c>
      <c r="W37" s="26">
        <f>MAX(0,W23-10000000)*Assumptions!C56/1000000</f>
        <v/>
      </c>
      <c r="X37" s="26">
        <f>MAX(0,X23-10000000)*Assumptions!C56/1000000</f>
        <v/>
      </c>
      <c r="Y37" s="26">
        <f>MAX(0,Y23-10000000)*Assumptions!C56/1000000</f>
        <v/>
      </c>
      <c r="Z37" s="26">
        <f>MAX(0,Z23-10000000)*Assumptions!C56/1000000</f>
        <v/>
      </c>
    </row>
    <row r="38">
      <c r="B38" s="5" t="inlineStr">
        <is>
          <t xml:space="preserve">  R2: Class B Ops (Reads)</t>
        </is>
      </c>
      <c r="C38" s="26">
        <f>MAX(0,C24-10000000)*Assumptions!C57/1000000</f>
        <v/>
      </c>
      <c r="D38" s="26">
        <f>MAX(0,D24-10000000)*Assumptions!C57/1000000</f>
        <v/>
      </c>
      <c r="E38" s="26">
        <f>MAX(0,E24-10000000)*Assumptions!C57/1000000</f>
        <v/>
      </c>
      <c r="F38" s="26">
        <f>MAX(0,F24-10000000)*Assumptions!C57/1000000</f>
        <v/>
      </c>
      <c r="G38" s="26">
        <f>MAX(0,G24-10000000)*Assumptions!C57/1000000</f>
        <v/>
      </c>
      <c r="H38" s="26">
        <f>MAX(0,H24-10000000)*Assumptions!C57/1000000</f>
        <v/>
      </c>
      <c r="I38" s="26">
        <f>MAX(0,I24-10000000)*Assumptions!C57/1000000</f>
        <v/>
      </c>
      <c r="J38" s="26">
        <f>MAX(0,J24-10000000)*Assumptions!C57/1000000</f>
        <v/>
      </c>
      <c r="K38" s="26">
        <f>MAX(0,K24-10000000)*Assumptions!C57/1000000</f>
        <v/>
      </c>
      <c r="L38" s="26">
        <f>MAX(0,L24-10000000)*Assumptions!C57/1000000</f>
        <v/>
      </c>
      <c r="M38" s="26">
        <f>MAX(0,M24-10000000)*Assumptions!C57/1000000</f>
        <v/>
      </c>
      <c r="N38" s="26">
        <f>MAX(0,N24-10000000)*Assumptions!C57/1000000</f>
        <v/>
      </c>
      <c r="O38" s="26">
        <f>MAX(0,O24-10000000)*Assumptions!C57/1000000</f>
        <v/>
      </c>
      <c r="P38" s="26">
        <f>MAX(0,P24-10000000)*Assumptions!C57/1000000</f>
        <v/>
      </c>
      <c r="Q38" s="26">
        <f>MAX(0,Q24-10000000)*Assumptions!C57/1000000</f>
        <v/>
      </c>
      <c r="R38" s="26">
        <f>MAX(0,R24-10000000)*Assumptions!C57/1000000</f>
        <v/>
      </c>
      <c r="S38" s="26">
        <f>MAX(0,S24-10000000)*Assumptions!C57/1000000</f>
        <v/>
      </c>
      <c r="T38" s="26">
        <f>MAX(0,T24-10000000)*Assumptions!C57/1000000</f>
        <v/>
      </c>
      <c r="U38" s="26">
        <f>MAX(0,U24-10000000)*Assumptions!C57/1000000</f>
        <v/>
      </c>
      <c r="V38" s="26">
        <f>MAX(0,V24-10000000)*Assumptions!C57/1000000</f>
        <v/>
      </c>
      <c r="W38" s="26">
        <f>MAX(0,W24-10000000)*Assumptions!C57/1000000</f>
        <v/>
      </c>
      <c r="X38" s="26">
        <f>MAX(0,X24-10000000)*Assumptions!C57/1000000</f>
        <v/>
      </c>
      <c r="Y38" s="26">
        <f>MAX(0,Y24-10000000)*Assumptions!C57/1000000</f>
        <v/>
      </c>
      <c r="Z38" s="26">
        <f>MAX(0,Z24-10000000)*Assumptions!C57/1000000</f>
        <v/>
      </c>
    </row>
    <row r="39">
      <c r="B39" s="12" t="inlineStr">
        <is>
          <t>Cloudflare R2 Total</t>
        </is>
      </c>
      <c r="C39" s="7">
        <f>C36+C37+C38</f>
        <v/>
      </c>
      <c r="D39" s="7">
        <f>D36+D37+D38</f>
        <v/>
      </c>
      <c r="E39" s="7">
        <f>E36+E37+E38</f>
        <v/>
      </c>
      <c r="F39" s="7">
        <f>F36+F37+F38</f>
        <v/>
      </c>
      <c r="G39" s="7">
        <f>G36+G37+G38</f>
        <v/>
      </c>
      <c r="H39" s="7">
        <f>H36+H37+H38</f>
        <v/>
      </c>
      <c r="I39" s="7">
        <f>I36+I37+I38</f>
        <v/>
      </c>
      <c r="J39" s="7">
        <f>J36+J37+J38</f>
        <v/>
      </c>
      <c r="K39" s="7">
        <f>K36+K37+K38</f>
        <v/>
      </c>
      <c r="L39" s="7">
        <f>L36+L37+L38</f>
        <v/>
      </c>
      <c r="M39" s="7">
        <f>M36+M37+M38</f>
        <v/>
      </c>
      <c r="N39" s="7">
        <f>N36+N37+N38</f>
        <v/>
      </c>
      <c r="O39" s="7">
        <f>O36+O37+O38</f>
        <v/>
      </c>
      <c r="P39" s="7">
        <f>P36+P37+P38</f>
        <v/>
      </c>
      <c r="Q39" s="7">
        <f>Q36+Q37+Q38</f>
        <v/>
      </c>
      <c r="R39" s="7">
        <f>R36+R37+R38</f>
        <v/>
      </c>
      <c r="S39" s="7">
        <f>S36+S37+S38</f>
        <v/>
      </c>
      <c r="T39" s="7">
        <f>T36+T37+T38</f>
        <v/>
      </c>
      <c r="U39" s="7">
        <f>U36+U37+U38</f>
        <v/>
      </c>
      <c r="V39" s="7">
        <f>V36+V37+V38</f>
        <v/>
      </c>
      <c r="W39" s="7">
        <f>W36+W37+W38</f>
        <v/>
      </c>
      <c r="X39" s="7">
        <f>X36+X37+X38</f>
        <v/>
      </c>
      <c r="Y39" s="7">
        <f>Y36+Y37+Y38</f>
        <v/>
      </c>
      <c r="Z39" s="7">
        <f>Z36+Z37+Z38</f>
        <v/>
      </c>
    </row>
    <row r="40">
      <c r="B40" s="5" t="inlineStr">
        <is>
          <t>Azure Table Storage</t>
        </is>
      </c>
      <c r="C40" s="26">
        <f>(C11*Assumptions!C65/1024/1024)*Assumptions!C63+(C27/10000)*Assumptions!C64</f>
        <v/>
      </c>
      <c r="D40" s="26">
        <f>(D11*Assumptions!C65/1024/1024)*Assumptions!C63+(D27/10000)*Assumptions!C64</f>
        <v/>
      </c>
      <c r="E40" s="26">
        <f>(E11*Assumptions!C65/1024/1024)*Assumptions!C63+(E27/10000)*Assumptions!C64</f>
        <v/>
      </c>
      <c r="F40" s="26">
        <f>(F11*Assumptions!C65/1024/1024)*Assumptions!C63+(F27/10000)*Assumptions!C64</f>
        <v/>
      </c>
      <c r="G40" s="26">
        <f>(G11*Assumptions!C65/1024/1024)*Assumptions!C63+(G27/10000)*Assumptions!C64</f>
        <v/>
      </c>
      <c r="H40" s="26">
        <f>(H11*Assumptions!C65/1024/1024)*Assumptions!C63+(H27/10000)*Assumptions!C64</f>
        <v/>
      </c>
      <c r="I40" s="26">
        <f>(I11*Assumptions!C65/1024/1024)*Assumptions!C63+(I27/10000)*Assumptions!C64</f>
        <v/>
      </c>
      <c r="J40" s="26">
        <f>(J11*Assumptions!C65/1024/1024)*Assumptions!C63+(J27/10000)*Assumptions!C64</f>
        <v/>
      </c>
      <c r="K40" s="26">
        <f>(K11*Assumptions!C65/1024/1024)*Assumptions!C63+(K27/10000)*Assumptions!C64</f>
        <v/>
      </c>
      <c r="L40" s="26">
        <f>(L11*Assumptions!C65/1024/1024)*Assumptions!C63+(L27/10000)*Assumptions!C64</f>
        <v/>
      </c>
      <c r="M40" s="26">
        <f>(M11*Assumptions!C65/1024/1024)*Assumptions!C63+(M27/10000)*Assumptions!C64</f>
        <v/>
      </c>
      <c r="N40" s="26">
        <f>(N11*Assumptions!C65/1024/1024)*Assumptions!C63+(N27/10000)*Assumptions!C64</f>
        <v/>
      </c>
      <c r="O40" s="26">
        <f>(O11*Assumptions!C65/1024/1024)*Assumptions!C63+(O27/10000)*Assumptions!C64</f>
        <v/>
      </c>
      <c r="P40" s="26">
        <f>(P11*Assumptions!C65/1024/1024)*Assumptions!C63+(P27/10000)*Assumptions!C64</f>
        <v/>
      </c>
      <c r="Q40" s="26">
        <f>(Q11*Assumptions!C65/1024/1024)*Assumptions!C63+(Q27/10000)*Assumptions!C64</f>
        <v/>
      </c>
      <c r="R40" s="26">
        <f>(R11*Assumptions!C65/1024/1024)*Assumptions!C63+(R27/10000)*Assumptions!C64</f>
        <v/>
      </c>
      <c r="S40" s="26">
        <f>(S11*Assumptions!C65/1024/1024)*Assumptions!C63+(S27/10000)*Assumptions!C64</f>
        <v/>
      </c>
      <c r="T40" s="26">
        <f>(T11*Assumptions!C65/1024/1024)*Assumptions!C63+(T27/10000)*Assumptions!C64</f>
        <v/>
      </c>
      <c r="U40" s="26">
        <f>(U11*Assumptions!C65/1024/1024)*Assumptions!C63+(U27/10000)*Assumptions!C64</f>
        <v/>
      </c>
      <c r="V40" s="26">
        <f>(V11*Assumptions!C65/1024/1024)*Assumptions!C63+(V27/10000)*Assumptions!C64</f>
        <v/>
      </c>
      <c r="W40" s="26">
        <f>(W11*Assumptions!C65/1024/1024)*Assumptions!C63+(W27/10000)*Assumptions!C64</f>
        <v/>
      </c>
      <c r="X40" s="26">
        <f>(X11*Assumptions!C65/1024/1024)*Assumptions!C63+(X27/10000)*Assumptions!C64</f>
        <v/>
      </c>
      <c r="Y40" s="26">
        <f>(Y11*Assumptions!C65/1024/1024)*Assumptions!C63+(Y27/10000)*Assumptions!C64</f>
        <v/>
      </c>
      <c r="Z40" s="26">
        <f>(Z11*Assumptions!C65/1024/1024)*Assumptions!C63+(Z27/10000)*Assumptions!C64</f>
        <v/>
      </c>
    </row>
    <row r="41">
      <c r="B41" s="5" t="inlineStr">
        <is>
          <t>Azure Functions (Compute)</t>
        </is>
      </c>
      <c r="C41" s="26">
        <f>MAX(0,C22-Assumptions!C73)/1000000*Assumptions!C69+MAX(0,C22*(Assumptions!C71/1000)*(Assumptions!C72/1024)-Assumptions!C74)*Assumptions!C70</f>
        <v/>
      </c>
      <c r="D41" s="26">
        <f>MAX(0,D22-Assumptions!C73)/1000000*Assumptions!C69+MAX(0,D22*(Assumptions!C71/1000)*(Assumptions!C72/1024)-Assumptions!C74)*Assumptions!C70</f>
        <v/>
      </c>
      <c r="E41" s="26">
        <f>MAX(0,E22-Assumptions!C73)/1000000*Assumptions!C69+MAX(0,E22*(Assumptions!C71/1000)*(Assumptions!C72/1024)-Assumptions!C74)*Assumptions!C70</f>
        <v/>
      </c>
      <c r="F41" s="26">
        <f>MAX(0,F22-Assumptions!C73)/1000000*Assumptions!C69+MAX(0,F22*(Assumptions!C71/1000)*(Assumptions!C72/1024)-Assumptions!C74)*Assumptions!C70</f>
        <v/>
      </c>
      <c r="G41" s="26">
        <f>MAX(0,G22-Assumptions!C73)/1000000*Assumptions!C69+MAX(0,G22*(Assumptions!C71/1000)*(Assumptions!C72/1024)-Assumptions!C74)*Assumptions!C70</f>
        <v/>
      </c>
      <c r="H41" s="26">
        <f>MAX(0,H22-Assumptions!C73)/1000000*Assumptions!C69+MAX(0,H22*(Assumptions!C71/1000)*(Assumptions!C72/1024)-Assumptions!C74)*Assumptions!C70</f>
        <v/>
      </c>
      <c r="I41" s="26">
        <f>MAX(0,I22-Assumptions!C73)/1000000*Assumptions!C69+MAX(0,I22*(Assumptions!C71/1000)*(Assumptions!C72/1024)-Assumptions!C74)*Assumptions!C70</f>
        <v/>
      </c>
      <c r="J41" s="26">
        <f>MAX(0,J22-Assumptions!C73)/1000000*Assumptions!C69+MAX(0,J22*(Assumptions!C71/1000)*(Assumptions!C72/1024)-Assumptions!C74)*Assumptions!C70</f>
        <v/>
      </c>
      <c r="K41" s="26">
        <f>MAX(0,K22-Assumptions!C73)/1000000*Assumptions!C69+MAX(0,K22*(Assumptions!C71/1000)*(Assumptions!C72/1024)-Assumptions!C74)*Assumptions!C70</f>
        <v/>
      </c>
      <c r="L41" s="26">
        <f>MAX(0,L22-Assumptions!C73)/1000000*Assumptions!C69+MAX(0,L22*(Assumptions!C71/1000)*(Assumptions!C72/1024)-Assumptions!C74)*Assumptions!C70</f>
        <v/>
      </c>
      <c r="M41" s="26">
        <f>MAX(0,M22-Assumptions!C73)/1000000*Assumptions!C69+MAX(0,M22*(Assumptions!C71/1000)*(Assumptions!C72/1024)-Assumptions!C74)*Assumptions!C70</f>
        <v/>
      </c>
      <c r="N41" s="26">
        <f>MAX(0,N22-Assumptions!C73)/1000000*Assumptions!C69+MAX(0,N22*(Assumptions!C71/1000)*(Assumptions!C72/1024)-Assumptions!C74)*Assumptions!C70</f>
        <v/>
      </c>
      <c r="O41" s="26">
        <f>MAX(0,O22-Assumptions!C73)/1000000*Assumptions!C69+MAX(0,O22*(Assumptions!C71/1000)*(Assumptions!C72/1024)-Assumptions!C74)*Assumptions!C70</f>
        <v/>
      </c>
      <c r="P41" s="26">
        <f>MAX(0,P22-Assumptions!C73)/1000000*Assumptions!C69+MAX(0,P22*(Assumptions!C71/1000)*(Assumptions!C72/1024)-Assumptions!C74)*Assumptions!C70</f>
        <v/>
      </c>
      <c r="Q41" s="26">
        <f>MAX(0,Q22-Assumptions!C73)/1000000*Assumptions!C69+MAX(0,Q22*(Assumptions!C71/1000)*(Assumptions!C72/1024)-Assumptions!C74)*Assumptions!C70</f>
        <v/>
      </c>
      <c r="R41" s="26">
        <f>MAX(0,R22-Assumptions!C73)/1000000*Assumptions!C69+MAX(0,R22*(Assumptions!C71/1000)*(Assumptions!C72/1024)-Assumptions!C74)*Assumptions!C70</f>
        <v/>
      </c>
      <c r="S41" s="26">
        <f>MAX(0,S22-Assumptions!C73)/1000000*Assumptions!C69+MAX(0,S22*(Assumptions!C71/1000)*(Assumptions!C72/1024)-Assumptions!C74)*Assumptions!C70</f>
        <v/>
      </c>
      <c r="T41" s="26">
        <f>MAX(0,T22-Assumptions!C73)/1000000*Assumptions!C69+MAX(0,T22*(Assumptions!C71/1000)*(Assumptions!C72/1024)-Assumptions!C74)*Assumptions!C70</f>
        <v/>
      </c>
      <c r="U41" s="26">
        <f>MAX(0,U22-Assumptions!C73)/1000000*Assumptions!C69+MAX(0,U22*(Assumptions!C71/1000)*(Assumptions!C72/1024)-Assumptions!C74)*Assumptions!C70</f>
        <v/>
      </c>
      <c r="V41" s="26">
        <f>MAX(0,V22-Assumptions!C73)/1000000*Assumptions!C69+MAX(0,V22*(Assumptions!C71/1000)*(Assumptions!C72/1024)-Assumptions!C74)*Assumptions!C70</f>
        <v/>
      </c>
      <c r="W41" s="26">
        <f>MAX(0,W22-Assumptions!C73)/1000000*Assumptions!C69+MAX(0,W22*(Assumptions!C71/1000)*(Assumptions!C72/1024)-Assumptions!C74)*Assumptions!C70</f>
        <v/>
      </c>
      <c r="X41" s="26">
        <f>MAX(0,X22-Assumptions!C73)/1000000*Assumptions!C69+MAX(0,X22*(Assumptions!C71/1000)*(Assumptions!C72/1024)-Assumptions!C74)*Assumptions!C70</f>
        <v/>
      </c>
      <c r="Y41" s="26">
        <f>MAX(0,Y22-Assumptions!C73)/1000000*Assumptions!C69+MAX(0,Y22*(Assumptions!C71/1000)*(Assumptions!C72/1024)-Assumptions!C74)*Assumptions!C70</f>
        <v/>
      </c>
      <c r="Z41" s="26">
        <f>MAX(0,Z22-Assumptions!C73)/1000000*Assumptions!C69+MAX(0,Z22*(Assumptions!C71/1000)*(Assumptions!C72/1024)-Assumptions!C74)*Assumptions!C70</f>
        <v/>
      </c>
    </row>
    <row r="42">
      <c r="B42" s="5" t="inlineStr">
        <is>
          <t>Other Platform (CIAM + DNS + Monitoring)</t>
        </is>
      </c>
      <c r="C42" s="26">
        <f>Assumptions!C78+MAX(0,C11*0.3-50000)*Assumptions!C79+Assumptions!C80+Assumptions!C81</f>
        <v/>
      </c>
      <c r="D42" s="26">
        <f>Assumptions!C78+MAX(0,D11*0.3-50000)*Assumptions!C79+Assumptions!C80+Assumptions!C81</f>
        <v/>
      </c>
      <c r="E42" s="26">
        <f>Assumptions!C78+MAX(0,E11*0.3-50000)*Assumptions!C79+Assumptions!C80+Assumptions!C81</f>
        <v/>
      </c>
      <c r="F42" s="26">
        <f>Assumptions!C78+MAX(0,F11*0.3-50000)*Assumptions!C79+Assumptions!C80+Assumptions!C81</f>
        <v/>
      </c>
      <c r="G42" s="26">
        <f>Assumptions!C78+MAX(0,G11*0.3-50000)*Assumptions!C79+Assumptions!C80+Assumptions!C81</f>
        <v/>
      </c>
      <c r="H42" s="26">
        <f>Assumptions!C78+MAX(0,H11*0.3-50000)*Assumptions!C79+Assumptions!C80+Assumptions!C81</f>
        <v/>
      </c>
      <c r="I42" s="26">
        <f>Assumptions!C78+MAX(0,I11*0.3-50000)*Assumptions!C79+Assumptions!C80+Assumptions!C81</f>
        <v/>
      </c>
      <c r="J42" s="26">
        <f>Assumptions!C78+MAX(0,J11*0.3-50000)*Assumptions!C79+Assumptions!C80+Assumptions!C81</f>
        <v/>
      </c>
      <c r="K42" s="26">
        <f>Assumptions!C78+MAX(0,K11*0.3-50000)*Assumptions!C79+Assumptions!C80+Assumptions!C81</f>
        <v/>
      </c>
      <c r="L42" s="26">
        <f>Assumptions!C78+MAX(0,L11*0.3-50000)*Assumptions!C79+Assumptions!C80+Assumptions!C81</f>
        <v/>
      </c>
      <c r="M42" s="26">
        <f>Assumptions!C78+MAX(0,M11*0.3-50000)*Assumptions!C79+Assumptions!C80+Assumptions!C81</f>
        <v/>
      </c>
      <c r="N42" s="26">
        <f>Assumptions!C78+MAX(0,N11*0.3-50000)*Assumptions!C79+Assumptions!C80+Assumptions!C81</f>
        <v/>
      </c>
      <c r="O42" s="26">
        <f>Assumptions!C78+MAX(0,O11*0.3-50000)*Assumptions!C79+Assumptions!C80+Assumptions!C81</f>
        <v/>
      </c>
      <c r="P42" s="26">
        <f>Assumptions!C78+MAX(0,P11*0.3-50000)*Assumptions!C79+Assumptions!C80+Assumptions!C81</f>
        <v/>
      </c>
      <c r="Q42" s="26">
        <f>Assumptions!C78+MAX(0,Q11*0.3-50000)*Assumptions!C79+Assumptions!C80+Assumptions!C81</f>
        <v/>
      </c>
      <c r="R42" s="26">
        <f>Assumptions!C78+MAX(0,R11*0.3-50000)*Assumptions!C79+Assumptions!C80+Assumptions!C81</f>
        <v/>
      </c>
      <c r="S42" s="26">
        <f>Assumptions!C78+MAX(0,S11*0.3-50000)*Assumptions!C79+Assumptions!C80+Assumptions!C81</f>
        <v/>
      </c>
      <c r="T42" s="26">
        <f>Assumptions!C78+MAX(0,T11*0.3-50000)*Assumptions!C79+Assumptions!C80+Assumptions!C81</f>
        <v/>
      </c>
      <c r="U42" s="26">
        <f>Assumptions!C78+MAX(0,U11*0.3-50000)*Assumptions!C79+Assumptions!C80+Assumptions!C81</f>
        <v/>
      </c>
      <c r="V42" s="26">
        <f>Assumptions!C78+MAX(0,V11*0.3-50000)*Assumptions!C79+Assumptions!C80+Assumptions!C81</f>
        <v/>
      </c>
      <c r="W42" s="26">
        <f>Assumptions!C78+MAX(0,W11*0.3-50000)*Assumptions!C79+Assumptions!C80+Assumptions!C81</f>
        <v/>
      </c>
      <c r="X42" s="26">
        <f>Assumptions!C78+MAX(0,X11*0.3-50000)*Assumptions!C79+Assumptions!C80+Assumptions!C81</f>
        <v/>
      </c>
      <c r="Y42" s="26">
        <f>Assumptions!C78+MAX(0,Y11*0.3-50000)*Assumptions!C79+Assumptions!C80+Assumptions!C81</f>
        <v/>
      </c>
      <c r="Z42" s="26">
        <f>Assumptions!C78+MAX(0,Z11*0.3-50000)*Assumptions!C79+Assumptions!C80+Assumptions!C81</f>
        <v/>
      </c>
    </row>
    <row r="43">
      <c r="B43" s="27" t="inlineStr">
        <is>
          <t>TOTAL INFRASTRUCTURE</t>
        </is>
      </c>
      <c r="C43" s="28">
        <f>C35+C39+C40+C41+C42</f>
        <v/>
      </c>
      <c r="D43" s="28">
        <f>D35+D39+D40+D41+D42</f>
        <v/>
      </c>
      <c r="E43" s="28">
        <f>E35+E39+E40+E41+E42</f>
        <v/>
      </c>
      <c r="F43" s="28">
        <f>F35+F39+F40+F41+F42</f>
        <v/>
      </c>
      <c r="G43" s="28">
        <f>G35+G39+G40+G41+G42</f>
        <v/>
      </c>
      <c r="H43" s="28">
        <f>H35+H39+H40+H41+H42</f>
        <v/>
      </c>
      <c r="I43" s="28">
        <f>I35+I39+I40+I41+I42</f>
        <v/>
      </c>
      <c r="J43" s="28">
        <f>J35+J39+J40+J41+J42</f>
        <v/>
      </c>
      <c r="K43" s="28">
        <f>K35+K39+K40+K41+K42</f>
        <v/>
      </c>
      <c r="L43" s="28">
        <f>L35+L39+L40+L41+L42</f>
        <v/>
      </c>
      <c r="M43" s="28">
        <f>M35+M39+M40+M41+M42</f>
        <v/>
      </c>
      <c r="N43" s="28">
        <f>N35+N39+N40+N41+N42</f>
        <v/>
      </c>
      <c r="O43" s="28">
        <f>O35+O39+O40+O41+O42</f>
        <v/>
      </c>
      <c r="P43" s="28">
        <f>P35+P39+P40+P41+P42</f>
        <v/>
      </c>
      <c r="Q43" s="28">
        <f>Q35+Q39+Q40+Q41+Q42</f>
        <v/>
      </c>
      <c r="R43" s="28">
        <f>R35+R39+R40+R41+R42</f>
        <v/>
      </c>
      <c r="S43" s="28">
        <f>S35+S39+S40+S41+S42</f>
        <v/>
      </c>
      <c r="T43" s="28">
        <f>T35+T39+T40+T41+T42</f>
        <v/>
      </c>
      <c r="U43" s="28">
        <f>U35+U39+U40+U41+U42</f>
        <v/>
      </c>
      <c r="V43" s="28">
        <f>V35+V39+V40+V41+V42</f>
        <v/>
      </c>
      <c r="W43" s="28">
        <f>W35+W39+W40+W41+W42</f>
        <v/>
      </c>
      <c r="X43" s="28">
        <f>X35+X39+X40+X41+X42</f>
        <v/>
      </c>
      <c r="Y43" s="28">
        <f>Y35+Y39+Y40+Y41+Y42</f>
        <v/>
      </c>
      <c r="Z43" s="28">
        <f>Z35+Z39+Z40+Z41+Z42</f>
        <v/>
      </c>
    </row>
    <row r="45">
      <c r="B45" s="3" t="inlineStr">
        <is>
          <t>REVENUE</t>
        </is>
      </c>
    </row>
    <row r="46">
      <c r="B46" s="5" t="inlineStr">
        <is>
          <t>10-Year Charm Revenue</t>
        </is>
      </c>
      <c r="C46" s="29">
        <f>C6*Assumptions!C6</f>
        <v/>
      </c>
      <c r="D46" s="29">
        <f>D6*Assumptions!C6</f>
        <v/>
      </c>
      <c r="E46" s="29">
        <f>E6*Assumptions!C6</f>
        <v/>
      </c>
      <c r="F46" s="29">
        <f>F6*Assumptions!C6</f>
        <v/>
      </c>
      <c r="G46" s="29">
        <f>G6*Assumptions!C6</f>
        <v/>
      </c>
      <c r="H46" s="29">
        <f>H6*Assumptions!C6</f>
        <v/>
      </c>
      <c r="I46" s="29">
        <f>I6*Assumptions!C6</f>
        <v/>
      </c>
      <c r="J46" s="29">
        <f>J6*Assumptions!C6</f>
        <v/>
      </c>
      <c r="K46" s="29">
        <f>K6*Assumptions!C6</f>
        <v/>
      </c>
      <c r="L46" s="29">
        <f>L6*Assumptions!C6</f>
        <v/>
      </c>
      <c r="M46" s="29">
        <f>M6*Assumptions!C6</f>
        <v/>
      </c>
      <c r="N46" s="29">
        <f>N6*Assumptions!C6</f>
        <v/>
      </c>
      <c r="O46" s="29">
        <f>O6*Assumptions!C6</f>
        <v/>
      </c>
      <c r="P46" s="29">
        <f>P6*Assumptions!C6</f>
        <v/>
      </c>
      <c r="Q46" s="29">
        <f>Q6*Assumptions!C6</f>
        <v/>
      </c>
      <c r="R46" s="29">
        <f>R6*Assumptions!C6</f>
        <v/>
      </c>
      <c r="S46" s="29">
        <f>S6*Assumptions!C6</f>
        <v/>
      </c>
      <c r="T46" s="29">
        <f>T6*Assumptions!C6</f>
        <v/>
      </c>
      <c r="U46" s="29">
        <f>U6*Assumptions!C6</f>
        <v/>
      </c>
      <c r="V46" s="29">
        <f>V6*Assumptions!C6</f>
        <v/>
      </c>
      <c r="W46" s="29">
        <f>W6*Assumptions!C6</f>
        <v/>
      </c>
      <c r="X46" s="29">
        <f>X6*Assumptions!C6</f>
        <v/>
      </c>
      <c r="Y46" s="29">
        <f>Y6*Assumptions!C6</f>
        <v/>
      </c>
      <c r="Z46" s="29">
        <f>Z6*Assumptions!C6</f>
        <v/>
      </c>
    </row>
    <row r="47">
      <c r="B47" s="5" t="inlineStr">
        <is>
          <t>15-Year Charm Revenue</t>
        </is>
      </c>
      <c r="C47" s="29">
        <f>C7*Assumptions!C7</f>
        <v/>
      </c>
      <c r="D47" s="29">
        <f>D7*Assumptions!C7</f>
        <v/>
      </c>
      <c r="E47" s="29">
        <f>E7*Assumptions!C7</f>
        <v/>
      </c>
      <c r="F47" s="29">
        <f>F7*Assumptions!C7</f>
        <v/>
      </c>
      <c r="G47" s="29">
        <f>G7*Assumptions!C7</f>
        <v/>
      </c>
      <c r="H47" s="29">
        <f>H7*Assumptions!C7</f>
        <v/>
      </c>
      <c r="I47" s="29">
        <f>I7*Assumptions!C7</f>
        <v/>
      </c>
      <c r="J47" s="29">
        <f>J7*Assumptions!C7</f>
        <v/>
      </c>
      <c r="K47" s="29">
        <f>K7*Assumptions!C7</f>
        <v/>
      </c>
      <c r="L47" s="29">
        <f>L7*Assumptions!C7</f>
        <v/>
      </c>
      <c r="M47" s="29">
        <f>M7*Assumptions!C7</f>
        <v/>
      </c>
      <c r="N47" s="29">
        <f>N7*Assumptions!C7</f>
        <v/>
      </c>
      <c r="O47" s="29">
        <f>O7*Assumptions!C7</f>
        <v/>
      </c>
      <c r="P47" s="29">
        <f>P7*Assumptions!C7</f>
        <v/>
      </c>
      <c r="Q47" s="29">
        <f>Q7*Assumptions!C7</f>
        <v/>
      </c>
      <c r="R47" s="29">
        <f>R7*Assumptions!C7</f>
        <v/>
      </c>
      <c r="S47" s="29">
        <f>S7*Assumptions!C7</f>
        <v/>
      </c>
      <c r="T47" s="29">
        <f>T7*Assumptions!C7</f>
        <v/>
      </c>
      <c r="U47" s="29">
        <f>U7*Assumptions!C7</f>
        <v/>
      </c>
      <c r="V47" s="29">
        <f>V7*Assumptions!C7</f>
        <v/>
      </c>
      <c r="W47" s="29">
        <f>W7*Assumptions!C7</f>
        <v/>
      </c>
      <c r="X47" s="29">
        <f>X7*Assumptions!C7</f>
        <v/>
      </c>
      <c r="Y47" s="29">
        <f>Y7*Assumptions!C7</f>
        <v/>
      </c>
      <c r="Z47" s="29">
        <f>Z7*Assumptions!C7</f>
        <v/>
      </c>
    </row>
    <row r="48">
      <c r="B48" s="5" t="inlineStr">
        <is>
          <t>Retail (Perpetual) Charm Revenue</t>
        </is>
      </c>
      <c r="C48" s="29">
        <f>C8*Assumptions!C8</f>
        <v/>
      </c>
      <c r="D48" s="29">
        <f>D8*Assumptions!C8</f>
        <v/>
      </c>
      <c r="E48" s="29">
        <f>E8*Assumptions!C8</f>
        <v/>
      </c>
      <c r="F48" s="29">
        <f>F8*Assumptions!C8</f>
        <v/>
      </c>
      <c r="G48" s="29">
        <f>G8*Assumptions!C8</f>
        <v/>
      </c>
      <c r="H48" s="29">
        <f>H8*Assumptions!C8</f>
        <v/>
      </c>
      <c r="I48" s="29">
        <f>I8*Assumptions!C8</f>
        <v/>
      </c>
      <c r="J48" s="29">
        <f>J8*Assumptions!C8</f>
        <v/>
      </c>
      <c r="K48" s="29">
        <f>K8*Assumptions!C8</f>
        <v/>
      </c>
      <c r="L48" s="29">
        <f>L8*Assumptions!C8</f>
        <v/>
      </c>
      <c r="M48" s="29">
        <f>M8*Assumptions!C8</f>
        <v/>
      </c>
      <c r="N48" s="29">
        <f>N8*Assumptions!C8</f>
        <v/>
      </c>
      <c r="O48" s="29">
        <f>O8*Assumptions!C8</f>
        <v/>
      </c>
      <c r="P48" s="29">
        <f>P8*Assumptions!C8</f>
        <v/>
      </c>
      <c r="Q48" s="29">
        <f>Q8*Assumptions!C8</f>
        <v/>
      </c>
      <c r="R48" s="29">
        <f>R8*Assumptions!C8</f>
        <v/>
      </c>
      <c r="S48" s="29">
        <f>S8*Assumptions!C8</f>
        <v/>
      </c>
      <c r="T48" s="29">
        <f>T8*Assumptions!C8</f>
        <v/>
      </c>
      <c r="U48" s="29">
        <f>U8*Assumptions!C8</f>
        <v/>
      </c>
      <c r="V48" s="29">
        <f>V8*Assumptions!C8</f>
        <v/>
      </c>
      <c r="W48" s="29">
        <f>W8*Assumptions!C8</f>
        <v/>
      </c>
      <c r="X48" s="29">
        <f>X8*Assumptions!C8</f>
        <v/>
      </c>
      <c r="Y48" s="29">
        <f>Y8*Assumptions!C8</f>
        <v/>
      </c>
      <c r="Z48" s="29">
        <f>Z8*Assumptions!C8</f>
        <v/>
      </c>
    </row>
    <row r="49">
      <c r="B49" s="5" t="inlineStr">
        <is>
          <t>Extend Memory Revenue</t>
        </is>
      </c>
      <c r="C49" s="29">
        <f>ROUND(C10*Assumptions!C23,0)*Assumptions!C12</f>
        <v/>
      </c>
      <c r="D49" s="29">
        <f>ROUND(D10*Assumptions!C23,0)*Assumptions!C12</f>
        <v/>
      </c>
      <c r="E49" s="29">
        <f>ROUND(E10*Assumptions!C23,0)*Assumptions!C12</f>
        <v/>
      </c>
      <c r="F49" s="29">
        <f>ROUND(F10*Assumptions!C23,0)*Assumptions!C12</f>
        <v/>
      </c>
      <c r="G49" s="29">
        <f>ROUND(G10*Assumptions!C23,0)*Assumptions!C12</f>
        <v/>
      </c>
      <c r="H49" s="29">
        <f>ROUND(H10*Assumptions!C23,0)*Assumptions!C12</f>
        <v/>
      </c>
      <c r="I49" s="29">
        <f>ROUND(I10*Assumptions!C23,0)*Assumptions!C12</f>
        <v/>
      </c>
      <c r="J49" s="29">
        <f>ROUND(J10*Assumptions!C23,0)*Assumptions!C12</f>
        <v/>
      </c>
      <c r="K49" s="29">
        <f>ROUND(K10*Assumptions!C23,0)*Assumptions!C12</f>
        <v/>
      </c>
      <c r="L49" s="29">
        <f>ROUND(L10*Assumptions!C23,0)*Assumptions!C12</f>
        <v/>
      </c>
      <c r="M49" s="29">
        <f>ROUND(M10*Assumptions!C23,0)*Assumptions!C12</f>
        <v/>
      </c>
      <c r="N49" s="29">
        <f>ROUND(N10*Assumptions!C23,0)*Assumptions!C12</f>
        <v/>
      </c>
      <c r="O49" s="29">
        <f>ROUND(O10*Assumptions!C23,0)*Assumptions!C12</f>
        <v/>
      </c>
      <c r="P49" s="29">
        <f>ROUND(P10*Assumptions!C23,0)*Assumptions!C12</f>
        <v/>
      </c>
      <c r="Q49" s="29">
        <f>ROUND(Q10*Assumptions!C23,0)*Assumptions!C12</f>
        <v/>
      </c>
      <c r="R49" s="29">
        <f>ROUND(R10*Assumptions!C23,0)*Assumptions!C12</f>
        <v/>
      </c>
      <c r="S49" s="29">
        <f>ROUND(S10*Assumptions!C23,0)*Assumptions!C12</f>
        <v/>
      </c>
      <c r="T49" s="29">
        <f>ROUND(T10*Assumptions!C23,0)*Assumptions!C12</f>
        <v/>
      </c>
      <c r="U49" s="29">
        <f>ROUND(U10*Assumptions!C23,0)*Assumptions!C12</f>
        <v/>
      </c>
      <c r="V49" s="29">
        <f>ROUND(V10*Assumptions!C23,0)*Assumptions!C12</f>
        <v/>
      </c>
      <c r="W49" s="29">
        <f>ROUND(W10*Assumptions!C23,0)*Assumptions!C12</f>
        <v/>
      </c>
      <c r="X49" s="29">
        <f>ROUND(X10*Assumptions!C23,0)*Assumptions!C12</f>
        <v/>
      </c>
      <c r="Y49" s="29">
        <f>ROUND(Y10*Assumptions!C23,0)*Assumptions!C12</f>
        <v/>
      </c>
      <c r="Z49" s="29">
        <f>ROUND(Z10*Assumptions!C23,0)*Assumptions!C12</f>
        <v/>
      </c>
    </row>
    <row r="50">
      <c r="B50" s="5" t="inlineStr">
        <is>
          <t>Upgrade Tier Revenue</t>
        </is>
      </c>
      <c r="C50" s="29">
        <f>ROUND(C10*Assumptions!C24,0)*Assumptions!C13</f>
        <v/>
      </c>
      <c r="D50" s="29">
        <f>ROUND(D10*Assumptions!C24,0)*Assumptions!C13</f>
        <v/>
      </c>
      <c r="E50" s="29">
        <f>ROUND(E10*Assumptions!C24,0)*Assumptions!C13</f>
        <v/>
      </c>
      <c r="F50" s="29">
        <f>ROUND(F10*Assumptions!C24,0)*Assumptions!C13</f>
        <v/>
      </c>
      <c r="G50" s="29">
        <f>ROUND(G10*Assumptions!C24,0)*Assumptions!C13</f>
        <v/>
      </c>
      <c r="H50" s="29">
        <f>ROUND(H10*Assumptions!C24,0)*Assumptions!C13</f>
        <v/>
      </c>
      <c r="I50" s="29">
        <f>ROUND(I10*Assumptions!C24,0)*Assumptions!C13</f>
        <v/>
      </c>
      <c r="J50" s="29">
        <f>ROUND(J10*Assumptions!C24,0)*Assumptions!C13</f>
        <v/>
      </c>
      <c r="K50" s="29">
        <f>ROUND(K10*Assumptions!C24,0)*Assumptions!C13</f>
        <v/>
      </c>
      <c r="L50" s="29">
        <f>ROUND(L10*Assumptions!C24,0)*Assumptions!C13</f>
        <v/>
      </c>
      <c r="M50" s="29">
        <f>ROUND(M10*Assumptions!C24,0)*Assumptions!C13</f>
        <v/>
      </c>
      <c r="N50" s="29">
        <f>ROUND(N10*Assumptions!C24,0)*Assumptions!C13</f>
        <v/>
      </c>
      <c r="O50" s="29">
        <f>ROUND(O10*Assumptions!C24,0)*Assumptions!C13</f>
        <v/>
      </c>
      <c r="P50" s="29">
        <f>ROUND(P10*Assumptions!C24,0)*Assumptions!C13</f>
        <v/>
      </c>
      <c r="Q50" s="29">
        <f>ROUND(Q10*Assumptions!C24,0)*Assumptions!C13</f>
        <v/>
      </c>
      <c r="R50" s="29">
        <f>ROUND(R10*Assumptions!C24,0)*Assumptions!C13</f>
        <v/>
      </c>
      <c r="S50" s="29">
        <f>ROUND(S10*Assumptions!C24,0)*Assumptions!C13</f>
        <v/>
      </c>
      <c r="T50" s="29">
        <f>ROUND(T10*Assumptions!C24,0)*Assumptions!C13</f>
        <v/>
      </c>
      <c r="U50" s="29">
        <f>ROUND(U10*Assumptions!C24,0)*Assumptions!C13</f>
        <v/>
      </c>
      <c r="V50" s="29">
        <f>ROUND(V10*Assumptions!C24,0)*Assumptions!C13</f>
        <v/>
      </c>
      <c r="W50" s="29">
        <f>ROUND(W10*Assumptions!C24,0)*Assumptions!C13</f>
        <v/>
      </c>
      <c r="X50" s="29">
        <f>ROUND(X10*Assumptions!C24,0)*Assumptions!C13</f>
        <v/>
      </c>
      <c r="Y50" s="29">
        <f>ROUND(Y10*Assumptions!C24,0)*Assumptions!C13</f>
        <v/>
      </c>
      <c r="Z50" s="29">
        <f>ROUND(Z10*Assumptions!C24,0)*Assumptions!C13</f>
        <v/>
      </c>
    </row>
    <row r="51">
      <c r="B51" s="5" t="inlineStr">
        <is>
          <t>Gift Wrap Revenue</t>
        </is>
      </c>
      <c r="C51" s="29">
        <f>ROUND(C9*Assumptions!C25,0)*Assumptions!C14</f>
        <v/>
      </c>
      <c r="D51" s="29">
        <f>ROUND(D9*Assumptions!C25,0)*Assumptions!C14</f>
        <v/>
      </c>
      <c r="E51" s="29">
        <f>ROUND(E9*Assumptions!C25,0)*Assumptions!C14</f>
        <v/>
      </c>
      <c r="F51" s="29">
        <f>ROUND(F9*Assumptions!C25,0)*Assumptions!C14</f>
        <v/>
      </c>
      <c r="G51" s="29">
        <f>ROUND(G9*Assumptions!C25,0)*Assumptions!C14</f>
        <v/>
      </c>
      <c r="H51" s="29">
        <f>ROUND(H9*Assumptions!C25,0)*Assumptions!C14</f>
        <v/>
      </c>
      <c r="I51" s="29">
        <f>ROUND(I9*Assumptions!C25,0)*Assumptions!C14</f>
        <v/>
      </c>
      <c r="J51" s="29">
        <f>ROUND(J9*Assumptions!C25,0)*Assumptions!C14</f>
        <v/>
      </c>
      <c r="K51" s="29">
        <f>ROUND(K9*Assumptions!C25,0)*Assumptions!C14</f>
        <v/>
      </c>
      <c r="L51" s="29">
        <f>ROUND(L9*Assumptions!C25,0)*Assumptions!C14</f>
        <v/>
      </c>
      <c r="M51" s="29">
        <f>ROUND(M9*Assumptions!C25,0)*Assumptions!C14</f>
        <v/>
      </c>
      <c r="N51" s="29">
        <f>ROUND(N9*Assumptions!C25,0)*Assumptions!C14</f>
        <v/>
      </c>
      <c r="O51" s="29">
        <f>ROUND(O9*Assumptions!C25,0)*Assumptions!C14</f>
        <v/>
      </c>
      <c r="P51" s="29">
        <f>ROUND(P9*Assumptions!C25,0)*Assumptions!C14</f>
        <v/>
      </c>
      <c r="Q51" s="29">
        <f>ROUND(Q9*Assumptions!C25,0)*Assumptions!C14</f>
        <v/>
      </c>
      <c r="R51" s="29">
        <f>ROUND(R9*Assumptions!C25,0)*Assumptions!C14</f>
        <v/>
      </c>
      <c r="S51" s="29">
        <f>ROUND(S9*Assumptions!C25,0)*Assumptions!C14</f>
        <v/>
      </c>
      <c r="T51" s="29">
        <f>ROUND(T9*Assumptions!C25,0)*Assumptions!C14</f>
        <v/>
      </c>
      <c r="U51" s="29">
        <f>ROUND(U9*Assumptions!C25,0)*Assumptions!C14</f>
        <v/>
      </c>
      <c r="V51" s="29">
        <f>ROUND(V9*Assumptions!C25,0)*Assumptions!C14</f>
        <v/>
      </c>
      <c r="W51" s="29">
        <f>ROUND(W9*Assumptions!C25,0)*Assumptions!C14</f>
        <v/>
      </c>
      <c r="X51" s="29">
        <f>ROUND(X9*Assumptions!C25,0)*Assumptions!C14</f>
        <v/>
      </c>
      <c r="Y51" s="29">
        <f>ROUND(Y9*Assumptions!C25,0)*Assumptions!C14</f>
        <v/>
      </c>
      <c r="Z51" s="29">
        <f>ROUND(Z9*Assumptions!C25,0)*Assumptions!C14</f>
        <v/>
      </c>
    </row>
    <row r="52">
      <c r="B52" s="30" t="inlineStr">
        <is>
          <t>TOTAL REVENUE</t>
        </is>
      </c>
      <c r="C52" s="31">
        <f>SUM(C46:C51)</f>
        <v/>
      </c>
      <c r="D52" s="31">
        <f>SUM(D46:D51)</f>
        <v/>
      </c>
      <c r="E52" s="31">
        <f>SUM(E46:E51)</f>
        <v/>
      </c>
      <c r="F52" s="31">
        <f>SUM(F46:F51)</f>
        <v/>
      </c>
      <c r="G52" s="31">
        <f>SUM(G46:G51)</f>
        <v/>
      </c>
      <c r="H52" s="31">
        <f>SUM(H46:H51)</f>
        <v/>
      </c>
      <c r="I52" s="31">
        <f>SUM(I46:I51)</f>
        <v/>
      </c>
      <c r="J52" s="31">
        <f>SUM(J46:J51)</f>
        <v/>
      </c>
      <c r="K52" s="31">
        <f>SUM(K46:K51)</f>
        <v/>
      </c>
      <c r="L52" s="31">
        <f>SUM(L46:L51)</f>
        <v/>
      </c>
      <c r="M52" s="31">
        <f>SUM(M46:M51)</f>
        <v/>
      </c>
      <c r="N52" s="31">
        <f>SUM(N46:N51)</f>
        <v/>
      </c>
      <c r="O52" s="31">
        <f>SUM(O46:O51)</f>
        <v/>
      </c>
      <c r="P52" s="31">
        <f>SUM(P46:P51)</f>
        <v/>
      </c>
      <c r="Q52" s="31">
        <f>SUM(Q46:Q51)</f>
        <v/>
      </c>
      <c r="R52" s="31">
        <f>SUM(R46:R51)</f>
        <v/>
      </c>
      <c r="S52" s="31">
        <f>SUM(S46:S51)</f>
        <v/>
      </c>
      <c r="T52" s="31">
        <f>SUM(T46:T51)</f>
        <v/>
      </c>
      <c r="U52" s="31">
        <f>SUM(U46:U51)</f>
        <v/>
      </c>
      <c r="V52" s="31">
        <f>SUM(V46:V51)</f>
        <v/>
      </c>
      <c r="W52" s="31">
        <f>SUM(W46:W51)</f>
        <v/>
      </c>
      <c r="X52" s="31">
        <f>SUM(X46:X51)</f>
        <v/>
      </c>
      <c r="Y52" s="31">
        <f>SUM(Y46:Y51)</f>
        <v/>
      </c>
      <c r="Z52" s="31">
        <f>SUM(Z46:Z51)</f>
        <v/>
      </c>
    </row>
    <row r="54">
      <c r="B54" s="3" t="inlineStr">
        <is>
          <t>COST OF GOODS SOLD</t>
        </is>
      </c>
    </row>
    <row r="55">
      <c r="B55" s="5" t="inlineStr">
        <is>
          <t>10-Year Charm COGS</t>
        </is>
      </c>
      <c r="C55" s="29">
        <f>C6*Assumptions!D6</f>
        <v/>
      </c>
      <c r="D55" s="29">
        <f>D6*Assumptions!D6</f>
        <v/>
      </c>
      <c r="E55" s="29">
        <f>E6*Assumptions!D6</f>
        <v/>
      </c>
      <c r="F55" s="29">
        <f>F6*Assumptions!D6</f>
        <v/>
      </c>
      <c r="G55" s="29">
        <f>G6*Assumptions!D6</f>
        <v/>
      </c>
      <c r="H55" s="29">
        <f>H6*Assumptions!D6</f>
        <v/>
      </c>
      <c r="I55" s="29">
        <f>I6*Assumptions!D6</f>
        <v/>
      </c>
      <c r="J55" s="29">
        <f>J6*Assumptions!D6</f>
        <v/>
      </c>
      <c r="K55" s="29">
        <f>K6*Assumptions!D6</f>
        <v/>
      </c>
      <c r="L55" s="29">
        <f>L6*Assumptions!D6</f>
        <v/>
      </c>
      <c r="M55" s="29">
        <f>M6*Assumptions!D6</f>
        <v/>
      </c>
      <c r="N55" s="29">
        <f>N6*Assumptions!D6</f>
        <v/>
      </c>
      <c r="O55" s="29">
        <f>O6*Assumptions!D6</f>
        <v/>
      </c>
      <c r="P55" s="29">
        <f>P6*Assumptions!D6</f>
        <v/>
      </c>
      <c r="Q55" s="29">
        <f>Q6*Assumptions!D6</f>
        <v/>
      </c>
      <c r="R55" s="29">
        <f>R6*Assumptions!D6</f>
        <v/>
      </c>
      <c r="S55" s="29">
        <f>S6*Assumptions!D6</f>
        <v/>
      </c>
      <c r="T55" s="29">
        <f>T6*Assumptions!D6</f>
        <v/>
      </c>
      <c r="U55" s="29">
        <f>U6*Assumptions!D6</f>
        <v/>
      </c>
      <c r="V55" s="29">
        <f>V6*Assumptions!D6</f>
        <v/>
      </c>
      <c r="W55" s="29">
        <f>W6*Assumptions!D6</f>
        <v/>
      </c>
      <c r="X55" s="29">
        <f>X6*Assumptions!D6</f>
        <v/>
      </c>
      <c r="Y55" s="29">
        <f>Y6*Assumptions!D6</f>
        <v/>
      </c>
      <c r="Z55" s="29">
        <f>Z6*Assumptions!D6</f>
        <v/>
      </c>
    </row>
    <row r="56">
      <c r="B56" s="5" t="inlineStr">
        <is>
          <t>15-Year Charm COGS</t>
        </is>
      </c>
      <c r="C56" s="29">
        <f>C7*Assumptions!D7</f>
        <v/>
      </c>
      <c r="D56" s="29">
        <f>D7*Assumptions!D7</f>
        <v/>
      </c>
      <c r="E56" s="29">
        <f>E7*Assumptions!D7</f>
        <v/>
      </c>
      <c r="F56" s="29">
        <f>F7*Assumptions!D7</f>
        <v/>
      </c>
      <c r="G56" s="29">
        <f>G7*Assumptions!D7</f>
        <v/>
      </c>
      <c r="H56" s="29">
        <f>H7*Assumptions!D7</f>
        <v/>
      </c>
      <c r="I56" s="29">
        <f>I7*Assumptions!D7</f>
        <v/>
      </c>
      <c r="J56" s="29">
        <f>J7*Assumptions!D7</f>
        <v/>
      </c>
      <c r="K56" s="29">
        <f>K7*Assumptions!D7</f>
        <v/>
      </c>
      <c r="L56" s="29">
        <f>L7*Assumptions!D7</f>
        <v/>
      </c>
      <c r="M56" s="29">
        <f>M7*Assumptions!D7</f>
        <v/>
      </c>
      <c r="N56" s="29">
        <f>N7*Assumptions!D7</f>
        <v/>
      </c>
      <c r="O56" s="29">
        <f>O7*Assumptions!D7</f>
        <v/>
      </c>
      <c r="P56" s="29">
        <f>P7*Assumptions!D7</f>
        <v/>
      </c>
      <c r="Q56" s="29">
        <f>Q7*Assumptions!D7</f>
        <v/>
      </c>
      <c r="R56" s="29">
        <f>R7*Assumptions!D7</f>
        <v/>
      </c>
      <c r="S56" s="29">
        <f>S7*Assumptions!D7</f>
        <v/>
      </c>
      <c r="T56" s="29">
        <f>T7*Assumptions!D7</f>
        <v/>
      </c>
      <c r="U56" s="29">
        <f>U7*Assumptions!D7</f>
        <v/>
      </c>
      <c r="V56" s="29">
        <f>V7*Assumptions!D7</f>
        <v/>
      </c>
      <c r="W56" s="29">
        <f>W7*Assumptions!D7</f>
        <v/>
      </c>
      <c r="X56" s="29">
        <f>X7*Assumptions!D7</f>
        <v/>
      </c>
      <c r="Y56" s="29">
        <f>Y7*Assumptions!D7</f>
        <v/>
      </c>
      <c r="Z56" s="29">
        <f>Z7*Assumptions!D7</f>
        <v/>
      </c>
    </row>
    <row r="57">
      <c r="B57" s="5" t="inlineStr">
        <is>
          <t>Retail (Perpetual) Charm COGS</t>
        </is>
      </c>
      <c r="C57" s="29">
        <f>C8*Assumptions!D8</f>
        <v/>
      </c>
      <c r="D57" s="29">
        <f>D8*Assumptions!D8</f>
        <v/>
      </c>
      <c r="E57" s="29">
        <f>E8*Assumptions!D8</f>
        <v/>
      </c>
      <c r="F57" s="29">
        <f>F8*Assumptions!D8</f>
        <v/>
      </c>
      <c r="G57" s="29">
        <f>G8*Assumptions!D8</f>
        <v/>
      </c>
      <c r="H57" s="29">
        <f>H8*Assumptions!D8</f>
        <v/>
      </c>
      <c r="I57" s="29">
        <f>I8*Assumptions!D8</f>
        <v/>
      </c>
      <c r="J57" s="29">
        <f>J8*Assumptions!D8</f>
        <v/>
      </c>
      <c r="K57" s="29">
        <f>K8*Assumptions!D8</f>
        <v/>
      </c>
      <c r="L57" s="29">
        <f>L8*Assumptions!D8</f>
        <v/>
      </c>
      <c r="M57" s="29">
        <f>M8*Assumptions!D8</f>
        <v/>
      </c>
      <c r="N57" s="29">
        <f>N8*Assumptions!D8</f>
        <v/>
      </c>
      <c r="O57" s="29">
        <f>O8*Assumptions!D8</f>
        <v/>
      </c>
      <c r="P57" s="29">
        <f>P8*Assumptions!D8</f>
        <v/>
      </c>
      <c r="Q57" s="29">
        <f>Q8*Assumptions!D8</f>
        <v/>
      </c>
      <c r="R57" s="29">
        <f>R8*Assumptions!D8</f>
        <v/>
      </c>
      <c r="S57" s="29">
        <f>S8*Assumptions!D8</f>
        <v/>
      </c>
      <c r="T57" s="29">
        <f>T8*Assumptions!D8</f>
        <v/>
      </c>
      <c r="U57" s="29">
        <f>U8*Assumptions!D8</f>
        <v/>
      </c>
      <c r="V57" s="29">
        <f>V8*Assumptions!D8</f>
        <v/>
      </c>
      <c r="W57" s="29">
        <f>W8*Assumptions!D8</f>
        <v/>
      </c>
      <c r="X57" s="29">
        <f>X8*Assumptions!D8</f>
        <v/>
      </c>
      <c r="Y57" s="29">
        <f>Y8*Assumptions!D8</f>
        <v/>
      </c>
      <c r="Z57" s="29">
        <f>Z8*Assumptions!D8</f>
        <v/>
      </c>
    </row>
    <row r="58">
      <c r="B58" s="5" t="inlineStr">
        <is>
          <t>Upsell COGS</t>
        </is>
      </c>
      <c r="C58" s="29">
        <f>ROUND(C10*Assumptions!C23,0)*Assumptions!D12+ROUND(C10*Assumptions!C24,0)*Assumptions!D13+ROUND(C9*Assumptions!C25,0)*Assumptions!D14</f>
        <v/>
      </c>
      <c r="D58" s="29">
        <f>ROUND(D10*Assumptions!C23,0)*Assumptions!D12+ROUND(D10*Assumptions!C24,0)*Assumptions!D13+ROUND(D9*Assumptions!C25,0)*Assumptions!D14</f>
        <v/>
      </c>
      <c r="E58" s="29">
        <f>ROUND(E10*Assumptions!C23,0)*Assumptions!D12+ROUND(E10*Assumptions!C24,0)*Assumptions!D13+ROUND(E9*Assumptions!C25,0)*Assumptions!D14</f>
        <v/>
      </c>
      <c r="F58" s="29">
        <f>ROUND(F10*Assumptions!C23,0)*Assumptions!D12+ROUND(F10*Assumptions!C24,0)*Assumptions!D13+ROUND(F9*Assumptions!C25,0)*Assumptions!D14</f>
        <v/>
      </c>
      <c r="G58" s="29">
        <f>ROUND(G10*Assumptions!C23,0)*Assumptions!D12+ROUND(G10*Assumptions!C24,0)*Assumptions!D13+ROUND(G9*Assumptions!C25,0)*Assumptions!D14</f>
        <v/>
      </c>
      <c r="H58" s="29">
        <f>ROUND(H10*Assumptions!C23,0)*Assumptions!D12+ROUND(H10*Assumptions!C24,0)*Assumptions!D13+ROUND(H9*Assumptions!C25,0)*Assumptions!D14</f>
        <v/>
      </c>
      <c r="I58" s="29">
        <f>ROUND(I10*Assumptions!C23,0)*Assumptions!D12+ROUND(I10*Assumptions!C24,0)*Assumptions!D13+ROUND(I9*Assumptions!C25,0)*Assumptions!D14</f>
        <v/>
      </c>
      <c r="J58" s="29">
        <f>ROUND(J10*Assumptions!C23,0)*Assumptions!D12+ROUND(J10*Assumptions!C24,0)*Assumptions!D13+ROUND(J9*Assumptions!C25,0)*Assumptions!D14</f>
        <v/>
      </c>
      <c r="K58" s="29">
        <f>ROUND(K10*Assumptions!C23,0)*Assumptions!D12+ROUND(K10*Assumptions!C24,0)*Assumptions!D13+ROUND(K9*Assumptions!C25,0)*Assumptions!D14</f>
        <v/>
      </c>
      <c r="L58" s="29">
        <f>ROUND(L10*Assumptions!C23,0)*Assumptions!D12+ROUND(L10*Assumptions!C24,0)*Assumptions!D13+ROUND(L9*Assumptions!C25,0)*Assumptions!D14</f>
        <v/>
      </c>
      <c r="M58" s="29">
        <f>ROUND(M10*Assumptions!C23,0)*Assumptions!D12+ROUND(M10*Assumptions!C24,0)*Assumptions!D13+ROUND(M9*Assumptions!C25,0)*Assumptions!D14</f>
        <v/>
      </c>
      <c r="N58" s="29">
        <f>ROUND(N10*Assumptions!C23,0)*Assumptions!D12+ROUND(N10*Assumptions!C24,0)*Assumptions!D13+ROUND(N9*Assumptions!C25,0)*Assumptions!D14</f>
        <v/>
      </c>
      <c r="O58" s="29">
        <f>ROUND(O10*Assumptions!C23,0)*Assumptions!D12+ROUND(O10*Assumptions!C24,0)*Assumptions!D13+ROUND(O9*Assumptions!C25,0)*Assumptions!D14</f>
        <v/>
      </c>
      <c r="P58" s="29">
        <f>ROUND(P10*Assumptions!C23,0)*Assumptions!D12+ROUND(P10*Assumptions!C24,0)*Assumptions!D13+ROUND(P9*Assumptions!C25,0)*Assumptions!D14</f>
        <v/>
      </c>
      <c r="Q58" s="29">
        <f>ROUND(Q10*Assumptions!C23,0)*Assumptions!D12+ROUND(Q10*Assumptions!C24,0)*Assumptions!D13+ROUND(Q9*Assumptions!C25,0)*Assumptions!D14</f>
        <v/>
      </c>
      <c r="R58" s="29">
        <f>ROUND(R10*Assumptions!C23,0)*Assumptions!D12+ROUND(R10*Assumptions!C24,0)*Assumptions!D13+ROUND(R9*Assumptions!C25,0)*Assumptions!D14</f>
        <v/>
      </c>
      <c r="S58" s="29">
        <f>ROUND(S10*Assumptions!C23,0)*Assumptions!D12+ROUND(S10*Assumptions!C24,0)*Assumptions!D13+ROUND(S9*Assumptions!C25,0)*Assumptions!D14</f>
        <v/>
      </c>
      <c r="T58" s="29">
        <f>ROUND(T10*Assumptions!C23,0)*Assumptions!D12+ROUND(T10*Assumptions!C24,0)*Assumptions!D13+ROUND(T9*Assumptions!C25,0)*Assumptions!D14</f>
        <v/>
      </c>
      <c r="U58" s="29">
        <f>ROUND(U10*Assumptions!C23,0)*Assumptions!D12+ROUND(U10*Assumptions!C24,0)*Assumptions!D13+ROUND(U9*Assumptions!C25,0)*Assumptions!D14</f>
        <v/>
      </c>
      <c r="V58" s="29">
        <f>ROUND(V10*Assumptions!C23,0)*Assumptions!D12+ROUND(V10*Assumptions!C24,0)*Assumptions!D13+ROUND(V9*Assumptions!C25,0)*Assumptions!D14</f>
        <v/>
      </c>
      <c r="W58" s="29">
        <f>ROUND(W10*Assumptions!C23,0)*Assumptions!D12+ROUND(W10*Assumptions!C24,0)*Assumptions!D13+ROUND(W9*Assumptions!C25,0)*Assumptions!D14</f>
        <v/>
      </c>
      <c r="X58" s="29">
        <f>ROUND(X10*Assumptions!C23,0)*Assumptions!D12+ROUND(X10*Assumptions!C24,0)*Assumptions!D13+ROUND(X9*Assumptions!C25,0)*Assumptions!D14</f>
        <v/>
      </c>
      <c r="Y58" s="29">
        <f>ROUND(Y10*Assumptions!C23,0)*Assumptions!D12+ROUND(Y10*Assumptions!C24,0)*Assumptions!D13+ROUND(Y9*Assumptions!C25,0)*Assumptions!D14</f>
        <v/>
      </c>
      <c r="Z58" s="29">
        <f>ROUND(Z10*Assumptions!C23,0)*Assumptions!D12+ROUND(Z10*Assumptions!C24,0)*Assumptions!D13+ROUND(Z9*Assumptions!C25,0)*Assumptions!D14</f>
        <v/>
      </c>
    </row>
    <row r="59">
      <c r="B59" s="27" t="inlineStr">
        <is>
          <t>TOTAL COGS</t>
        </is>
      </c>
      <c r="C59" s="32">
        <f>SUM(C55:C58)</f>
        <v/>
      </c>
      <c r="D59" s="32">
        <f>SUM(D55:D58)</f>
        <v/>
      </c>
      <c r="E59" s="32">
        <f>SUM(E55:E58)</f>
        <v/>
      </c>
      <c r="F59" s="32">
        <f>SUM(F55:F58)</f>
        <v/>
      </c>
      <c r="G59" s="32">
        <f>SUM(G55:G58)</f>
        <v/>
      </c>
      <c r="H59" s="32">
        <f>SUM(H55:H58)</f>
        <v/>
      </c>
      <c r="I59" s="32">
        <f>SUM(I55:I58)</f>
        <v/>
      </c>
      <c r="J59" s="32">
        <f>SUM(J55:J58)</f>
        <v/>
      </c>
      <c r="K59" s="32">
        <f>SUM(K55:K58)</f>
        <v/>
      </c>
      <c r="L59" s="32">
        <f>SUM(L55:L58)</f>
        <v/>
      </c>
      <c r="M59" s="32">
        <f>SUM(M55:M58)</f>
        <v/>
      </c>
      <c r="N59" s="32">
        <f>SUM(N55:N58)</f>
        <v/>
      </c>
      <c r="O59" s="32">
        <f>SUM(O55:O58)</f>
        <v/>
      </c>
      <c r="P59" s="32">
        <f>SUM(P55:P58)</f>
        <v/>
      </c>
      <c r="Q59" s="32">
        <f>SUM(Q55:Q58)</f>
        <v/>
      </c>
      <c r="R59" s="32">
        <f>SUM(R55:R58)</f>
        <v/>
      </c>
      <c r="S59" s="32">
        <f>SUM(S55:S58)</f>
        <v/>
      </c>
      <c r="T59" s="32">
        <f>SUM(T55:T58)</f>
        <v/>
      </c>
      <c r="U59" s="32">
        <f>SUM(U55:U58)</f>
        <v/>
      </c>
      <c r="V59" s="32">
        <f>SUM(V55:V58)</f>
        <v/>
      </c>
      <c r="W59" s="32">
        <f>SUM(W55:W58)</f>
        <v/>
      </c>
      <c r="X59" s="32">
        <f>SUM(X55:X58)</f>
        <v/>
      </c>
      <c r="Y59" s="32">
        <f>SUM(Y55:Y58)</f>
        <v/>
      </c>
      <c r="Z59" s="32">
        <f>SUM(Z55:Z58)</f>
        <v/>
      </c>
    </row>
    <row r="60">
      <c r="B60" s="30" t="inlineStr">
        <is>
          <t>GROSS PROFIT</t>
        </is>
      </c>
      <c r="C60" s="31">
        <f>C52-C59</f>
        <v/>
      </c>
      <c r="D60" s="31">
        <f>D52-D59</f>
        <v/>
      </c>
      <c r="E60" s="31">
        <f>E52-E59</f>
        <v/>
      </c>
      <c r="F60" s="31">
        <f>F52-F59</f>
        <v/>
      </c>
      <c r="G60" s="31">
        <f>G52-G59</f>
        <v/>
      </c>
      <c r="H60" s="31">
        <f>H52-H59</f>
        <v/>
      </c>
      <c r="I60" s="31">
        <f>I52-I59</f>
        <v/>
      </c>
      <c r="J60" s="31">
        <f>J52-J59</f>
        <v/>
      </c>
      <c r="K60" s="31">
        <f>K52-K59</f>
        <v/>
      </c>
      <c r="L60" s="31">
        <f>L52-L59</f>
        <v/>
      </c>
      <c r="M60" s="31">
        <f>M52-M59</f>
        <v/>
      </c>
      <c r="N60" s="31">
        <f>N52-N59</f>
        <v/>
      </c>
      <c r="O60" s="31">
        <f>O52-O59</f>
        <v/>
      </c>
      <c r="P60" s="31">
        <f>P52-P59</f>
        <v/>
      </c>
      <c r="Q60" s="31">
        <f>Q52-Q59</f>
        <v/>
      </c>
      <c r="R60" s="31">
        <f>R52-R59</f>
        <v/>
      </c>
      <c r="S60" s="31">
        <f>S52-S59</f>
        <v/>
      </c>
      <c r="T60" s="31">
        <f>T52-T59</f>
        <v/>
      </c>
      <c r="U60" s="31">
        <f>U52-U59</f>
        <v/>
      </c>
      <c r="V60" s="31">
        <f>V52-V59</f>
        <v/>
      </c>
      <c r="W60" s="31">
        <f>W52-W59</f>
        <v/>
      </c>
      <c r="X60" s="31">
        <f>X52-X59</f>
        <v/>
      </c>
      <c r="Y60" s="31">
        <f>Y52-Y59</f>
        <v/>
      </c>
      <c r="Z60" s="31">
        <f>Z52-Z59</f>
        <v/>
      </c>
    </row>
    <row r="61">
      <c r="B61" s="12" t="inlineStr">
        <is>
          <t>Gross Margin %</t>
        </is>
      </c>
      <c r="C61" s="13">
        <f>IF(C52&gt;0,C60/C52,0)</f>
        <v/>
      </c>
      <c r="D61" s="13">
        <f>IF(D52&gt;0,D60/D52,0)</f>
        <v/>
      </c>
      <c r="E61" s="13">
        <f>IF(E52&gt;0,E60/E52,0)</f>
        <v/>
      </c>
      <c r="F61" s="13">
        <f>IF(F52&gt;0,F60/F52,0)</f>
        <v/>
      </c>
      <c r="G61" s="13">
        <f>IF(G52&gt;0,G60/G52,0)</f>
        <v/>
      </c>
      <c r="H61" s="13">
        <f>IF(H52&gt;0,H60/H52,0)</f>
        <v/>
      </c>
      <c r="I61" s="13">
        <f>IF(I52&gt;0,I60/I52,0)</f>
        <v/>
      </c>
      <c r="J61" s="13">
        <f>IF(J52&gt;0,J60/J52,0)</f>
        <v/>
      </c>
      <c r="K61" s="13">
        <f>IF(K52&gt;0,K60/K52,0)</f>
        <v/>
      </c>
      <c r="L61" s="13">
        <f>IF(L52&gt;0,L60/L52,0)</f>
        <v/>
      </c>
      <c r="M61" s="13">
        <f>IF(M52&gt;0,M60/M52,0)</f>
        <v/>
      </c>
      <c r="N61" s="13">
        <f>IF(N52&gt;0,N60/N52,0)</f>
        <v/>
      </c>
      <c r="O61" s="13">
        <f>IF(O52&gt;0,O60/O52,0)</f>
        <v/>
      </c>
      <c r="P61" s="13">
        <f>IF(P52&gt;0,P60/P52,0)</f>
        <v/>
      </c>
      <c r="Q61" s="13">
        <f>IF(Q52&gt;0,Q60/Q52,0)</f>
        <v/>
      </c>
      <c r="R61" s="13">
        <f>IF(R52&gt;0,R60/R52,0)</f>
        <v/>
      </c>
      <c r="S61" s="13">
        <f>IF(S52&gt;0,S60/S52,0)</f>
        <v/>
      </c>
      <c r="T61" s="13">
        <f>IF(T52&gt;0,T60/T52,0)</f>
        <v/>
      </c>
      <c r="U61" s="13">
        <f>IF(U52&gt;0,U60/U52,0)</f>
        <v/>
      </c>
      <c r="V61" s="13">
        <f>IF(V52&gt;0,V60/V52,0)</f>
        <v/>
      </c>
      <c r="W61" s="13">
        <f>IF(W52&gt;0,W60/W52,0)</f>
        <v/>
      </c>
      <c r="X61" s="13">
        <f>IF(X52&gt;0,X60/X52,0)</f>
        <v/>
      </c>
      <c r="Y61" s="13">
        <f>IF(Y52&gt;0,Y60/Y52,0)</f>
        <v/>
      </c>
      <c r="Z61" s="13">
        <f>IF(Z52&gt;0,Z60/Z52,0)</f>
        <v/>
      </c>
    </row>
    <row r="63">
      <c r="B63" s="3" t="inlineStr">
        <is>
          <t>OPERATING EXPENSES</t>
        </is>
      </c>
    </row>
    <row r="64">
      <c r="B64" s="5" t="inlineStr">
        <is>
          <t>Infrastructure (see breakdown above)</t>
        </is>
      </c>
      <c r="C64" s="29">
        <f>C43</f>
        <v/>
      </c>
      <c r="D64" s="29">
        <f>D43</f>
        <v/>
      </c>
      <c r="E64" s="29">
        <f>E43</f>
        <v/>
      </c>
      <c r="F64" s="29">
        <f>F43</f>
        <v/>
      </c>
      <c r="G64" s="29">
        <f>G43</f>
        <v/>
      </c>
      <c r="H64" s="29">
        <f>H43</f>
        <v/>
      </c>
      <c r="I64" s="29">
        <f>I43</f>
        <v/>
      </c>
      <c r="J64" s="29">
        <f>J43</f>
        <v/>
      </c>
      <c r="K64" s="29">
        <f>K43</f>
        <v/>
      </c>
      <c r="L64" s="29">
        <f>L43</f>
        <v/>
      </c>
      <c r="M64" s="29">
        <f>M43</f>
        <v/>
      </c>
      <c r="N64" s="29">
        <f>N43</f>
        <v/>
      </c>
      <c r="O64" s="29">
        <f>O43</f>
        <v/>
      </c>
      <c r="P64" s="29">
        <f>P43</f>
        <v/>
      </c>
      <c r="Q64" s="29">
        <f>Q43</f>
        <v/>
      </c>
      <c r="R64" s="29">
        <f>R43</f>
        <v/>
      </c>
      <c r="S64" s="29">
        <f>S43</f>
        <v/>
      </c>
      <c r="T64" s="29">
        <f>T43</f>
        <v/>
      </c>
      <c r="U64" s="29">
        <f>U43</f>
        <v/>
      </c>
      <c r="V64" s="29">
        <f>V43</f>
        <v/>
      </c>
      <c r="W64" s="29">
        <f>W43</f>
        <v/>
      </c>
      <c r="X64" s="29">
        <f>X43</f>
        <v/>
      </c>
      <c r="Y64" s="29">
        <f>Y43</f>
        <v/>
      </c>
      <c r="Z64" s="29">
        <f>Z43</f>
        <v/>
      </c>
    </row>
    <row r="65">
      <c r="B65" s="5" t="inlineStr">
        <is>
          <t>Marketing / Customer Acquisition</t>
        </is>
      </c>
      <c r="C65" s="29">
        <f>Assumptions!C85</f>
        <v/>
      </c>
      <c r="D65" s="29">
        <f>ROUND(C65*(1+Assumptions!D85),0)</f>
        <v/>
      </c>
      <c r="E65" s="29">
        <f>ROUND(D65*(1+Assumptions!D85),0)</f>
        <v/>
      </c>
      <c r="F65" s="29">
        <f>ROUND(E65*(1+Assumptions!D85),0)</f>
        <v/>
      </c>
      <c r="G65" s="29">
        <f>ROUND(F65*(1+Assumptions!D85),0)</f>
        <v/>
      </c>
      <c r="H65" s="29">
        <f>ROUND(G65*(1+Assumptions!D85),0)</f>
        <v/>
      </c>
      <c r="I65" s="29">
        <f>ROUND(H65*(1+Assumptions!D85),0)</f>
        <v/>
      </c>
      <c r="J65" s="29">
        <f>ROUND(I65*(1+Assumptions!D85),0)</f>
        <v/>
      </c>
      <c r="K65" s="29">
        <f>ROUND(J65*(1+Assumptions!D85),0)</f>
        <v/>
      </c>
      <c r="L65" s="29">
        <f>ROUND(K65*(1+Assumptions!D85),0)</f>
        <v/>
      </c>
      <c r="M65" s="29">
        <f>ROUND(L65*(1+Assumptions!D85),0)</f>
        <v/>
      </c>
      <c r="N65" s="29">
        <f>ROUND(M65*(1+Assumptions!D85),0)</f>
        <v/>
      </c>
      <c r="O65" s="29">
        <f>ROUND(N65*(1+Assumptions!D85),0)</f>
        <v/>
      </c>
      <c r="P65" s="29">
        <f>ROUND(O65*(1+Assumptions!D85),0)</f>
        <v/>
      </c>
      <c r="Q65" s="29">
        <f>ROUND(P65*(1+Assumptions!D85),0)</f>
        <v/>
      </c>
      <c r="R65" s="29">
        <f>ROUND(Q65*(1+Assumptions!D85),0)</f>
        <v/>
      </c>
      <c r="S65" s="29">
        <f>ROUND(R65*(1+Assumptions!D85),0)</f>
        <v/>
      </c>
      <c r="T65" s="29">
        <f>ROUND(S65*(1+Assumptions!D85),0)</f>
        <v/>
      </c>
      <c r="U65" s="29">
        <f>ROUND(T65*(1+Assumptions!D85),0)</f>
        <v/>
      </c>
      <c r="V65" s="29">
        <f>ROUND(U65*(1+Assumptions!D85),0)</f>
        <v/>
      </c>
      <c r="W65" s="29">
        <f>ROUND(V65*(1+Assumptions!D85),0)</f>
        <v/>
      </c>
      <c r="X65" s="29">
        <f>ROUND(W65*(1+Assumptions!D85),0)</f>
        <v/>
      </c>
      <c r="Y65" s="29">
        <f>ROUND(X65*(1+Assumptions!D85),0)</f>
        <v/>
      </c>
      <c r="Z65" s="29">
        <f>ROUND(Y65*(1+Assumptions!D85),0)</f>
        <v/>
      </c>
    </row>
    <row r="66">
      <c r="B66" s="5" t="inlineStr">
        <is>
          <t>Shipping &amp; Fulfillment</t>
        </is>
      </c>
      <c r="C66" s="29">
        <f>C9*Assumptions!C86</f>
        <v/>
      </c>
      <c r="D66" s="29">
        <f>D9*Assumptions!C86</f>
        <v/>
      </c>
      <c r="E66" s="29">
        <f>E9*Assumptions!C86</f>
        <v/>
      </c>
      <c r="F66" s="29">
        <f>F9*Assumptions!C86</f>
        <v/>
      </c>
      <c r="G66" s="29">
        <f>G9*Assumptions!C86</f>
        <v/>
      </c>
      <c r="H66" s="29">
        <f>H9*Assumptions!C86</f>
        <v/>
      </c>
      <c r="I66" s="29">
        <f>I9*Assumptions!C86</f>
        <v/>
      </c>
      <c r="J66" s="29">
        <f>J9*Assumptions!C86</f>
        <v/>
      </c>
      <c r="K66" s="29">
        <f>K9*Assumptions!C86</f>
        <v/>
      </c>
      <c r="L66" s="29">
        <f>L9*Assumptions!C86</f>
        <v/>
      </c>
      <c r="M66" s="29">
        <f>M9*Assumptions!C86</f>
        <v/>
      </c>
      <c r="N66" s="29">
        <f>N9*Assumptions!C86</f>
        <v/>
      </c>
      <c r="O66" s="29">
        <f>O9*Assumptions!C86</f>
        <v/>
      </c>
      <c r="P66" s="29">
        <f>P9*Assumptions!C86</f>
        <v/>
      </c>
      <c r="Q66" s="29">
        <f>Q9*Assumptions!C86</f>
        <v/>
      </c>
      <c r="R66" s="29">
        <f>R9*Assumptions!C86</f>
        <v/>
      </c>
      <c r="S66" s="29">
        <f>S9*Assumptions!C86</f>
        <v/>
      </c>
      <c r="T66" s="29">
        <f>T9*Assumptions!C86</f>
        <v/>
      </c>
      <c r="U66" s="29">
        <f>U9*Assumptions!C86</f>
        <v/>
      </c>
      <c r="V66" s="29">
        <f>V9*Assumptions!C86</f>
        <v/>
      </c>
      <c r="W66" s="29">
        <f>W9*Assumptions!C86</f>
        <v/>
      </c>
      <c r="X66" s="29">
        <f>X9*Assumptions!C86</f>
        <v/>
      </c>
      <c r="Y66" s="29">
        <f>Y9*Assumptions!C86</f>
        <v/>
      </c>
      <c r="Z66" s="29">
        <f>Z9*Assumptions!C86</f>
        <v/>
      </c>
    </row>
    <row r="67">
      <c r="B67" s="5" t="inlineStr">
        <is>
          <t>Payment Processing</t>
        </is>
      </c>
      <c r="C67" s="29">
        <f>C52*Assumptions!C87</f>
        <v/>
      </c>
      <c r="D67" s="29">
        <f>D52*Assumptions!C87</f>
        <v/>
      </c>
      <c r="E67" s="29">
        <f>E52*Assumptions!C87</f>
        <v/>
      </c>
      <c r="F67" s="29">
        <f>F52*Assumptions!C87</f>
        <v/>
      </c>
      <c r="G67" s="29">
        <f>G52*Assumptions!C87</f>
        <v/>
      </c>
      <c r="H67" s="29">
        <f>H52*Assumptions!C87</f>
        <v/>
      </c>
      <c r="I67" s="29">
        <f>I52*Assumptions!C87</f>
        <v/>
      </c>
      <c r="J67" s="29">
        <f>J52*Assumptions!C87</f>
        <v/>
      </c>
      <c r="K67" s="29">
        <f>K52*Assumptions!C87</f>
        <v/>
      </c>
      <c r="L67" s="29">
        <f>L52*Assumptions!C87</f>
        <v/>
      </c>
      <c r="M67" s="29">
        <f>M52*Assumptions!C87</f>
        <v/>
      </c>
      <c r="N67" s="29">
        <f>N52*Assumptions!C87</f>
        <v/>
      </c>
      <c r="O67" s="29">
        <f>O52*Assumptions!C87</f>
        <v/>
      </c>
      <c r="P67" s="29">
        <f>P52*Assumptions!C87</f>
        <v/>
      </c>
      <c r="Q67" s="29">
        <f>Q52*Assumptions!C87</f>
        <v/>
      </c>
      <c r="R67" s="29">
        <f>R52*Assumptions!C87</f>
        <v/>
      </c>
      <c r="S67" s="29">
        <f>S52*Assumptions!C87</f>
        <v/>
      </c>
      <c r="T67" s="29">
        <f>T52*Assumptions!C87</f>
        <v/>
      </c>
      <c r="U67" s="29">
        <f>U52*Assumptions!C87</f>
        <v/>
      </c>
      <c r="V67" s="29">
        <f>V52*Assumptions!C87</f>
        <v/>
      </c>
      <c r="W67" s="29">
        <f>W52*Assumptions!C87</f>
        <v/>
      </c>
      <c r="X67" s="29">
        <f>X52*Assumptions!C87</f>
        <v/>
      </c>
      <c r="Y67" s="29">
        <f>Y52*Assumptions!C87</f>
        <v/>
      </c>
      <c r="Z67" s="29">
        <f>Z52*Assumptions!C87</f>
        <v/>
      </c>
    </row>
    <row r="68">
      <c r="B68" s="5" t="inlineStr">
        <is>
          <t>Customer Support</t>
        </is>
      </c>
      <c r="C68" s="29">
        <f>Assumptions!C88</f>
        <v/>
      </c>
      <c r="D68" s="29">
        <f>ROUND(C68*(1+Assumptions!D88),0)</f>
        <v/>
      </c>
      <c r="E68" s="29">
        <f>ROUND(D68*(1+Assumptions!D88),0)</f>
        <v/>
      </c>
      <c r="F68" s="29">
        <f>ROUND(E68*(1+Assumptions!D88),0)</f>
        <v/>
      </c>
      <c r="G68" s="29">
        <f>ROUND(F68*(1+Assumptions!D88),0)</f>
        <v/>
      </c>
      <c r="H68" s="29">
        <f>ROUND(G68*(1+Assumptions!D88),0)</f>
        <v/>
      </c>
      <c r="I68" s="29">
        <f>ROUND(H68*(1+Assumptions!D88),0)</f>
        <v/>
      </c>
      <c r="J68" s="29">
        <f>ROUND(I68*(1+Assumptions!D88),0)</f>
        <v/>
      </c>
      <c r="K68" s="29">
        <f>ROUND(J68*(1+Assumptions!D88),0)</f>
        <v/>
      </c>
      <c r="L68" s="29">
        <f>ROUND(K68*(1+Assumptions!D88),0)</f>
        <v/>
      </c>
      <c r="M68" s="29">
        <f>ROUND(L68*(1+Assumptions!D88),0)</f>
        <v/>
      </c>
      <c r="N68" s="29">
        <f>ROUND(M68*(1+Assumptions!D88),0)</f>
        <v/>
      </c>
      <c r="O68" s="29">
        <f>ROUND(N68*(1+Assumptions!D88),0)</f>
        <v/>
      </c>
      <c r="P68" s="29">
        <f>ROUND(O68*(1+Assumptions!D88),0)</f>
        <v/>
      </c>
      <c r="Q68" s="29">
        <f>ROUND(P68*(1+Assumptions!D88),0)</f>
        <v/>
      </c>
      <c r="R68" s="29">
        <f>ROUND(Q68*(1+Assumptions!D88),0)</f>
        <v/>
      </c>
      <c r="S68" s="29">
        <f>ROUND(R68*(1+Assumptions!D88),0)</f>
        <v/>
      </c>
      <c r="T68" s="29">
        <f>ROUND(S68*(1+Assumptions!D88),0)</f>
        <v/>
      </c>
      <c r="U68" s="29">
        <f>ROUND(T68*(1+Assumptions!D88),0)</f>
        <v/>
      </c>
      <c r="V68" s="29">
        <f>ROUND(U68*(1+Assumptions!D88),0)</f>
        <v/>
      </c>
      <c r="W68" s="29">
        <f>ROUND(V68*(1+Assumptions!D88),0)</f>
        <v/>
      </c>
      <c r="X68" s="29">
        <f>ROUND(W68*(1+Assumptions!D88),0)</f>
        <v/>
      </c>
      <c r="Y68" s="29">
        <f>ROUND(X68*(1+Assumptions!D88),0)</f>
        <v/>
      </c>
      <c r="Z68" s="29">
        <f>ROUND(Y68*(1+Assumptions!D88),0)</f>
        <v/>
      </c>
    </row>
    <row r="69">
      <c r="B69" s="5" t="inlineStr">
        <is>
          <t>Insurance / Legal / Misc</t>
        </is>
      </c>
      <c r="C69" s="29">
        <f>Assumptions!C89</f>
        <v/>
      </c>
      <c r="D69" s="29">
        <f>ROUND(C69*(1+Assumptions!D89),0)</f>
        <v/>
      </c>
      <c r="E69" s="29">
        <f>ROUND(D69*(1+Assumptions!D89),0)</f>
        <v/>
      </c>
      <c r="F69" s="29">
        <f>ROUND(E69*(1+Assumptions!D89),0)</f>
        <v/>
      </c>
      <c r="G69" s="29">
        <f>ROUND(F69*(1+Assumptions!D89),0)</f>
        <v/>
      </c>
      <c r="H69" s="29">
        <f>ROUND(G69*(1+Assumptions!D89),0)</f>
        <v/>
      </c>
      <c r="I69" s="29">
        <f>ROUND(H69*(1+Assumptions!D89),0)</f>
        <v/>
      </c>
      <c r="J69" s="29">
        <f>ROUND(I69*(1+Assumptions!D89),0)</f>
        <v/>
      </c>
      <c r="K69" s="29">
        <f>ROUND(J69*(1+Assumptions!D89),0)</f>
        <v/>
      </c>
      <c r="L69" s="29">
        <f>ROUND(K69*(1+Assumptions!D89),0)</f>
        <v/>
      </c>
      <c r="M69" s="29">
        <f>ROUND(L69*(1+Assumptions!D89),0)</f>
        <v/>
      </c>
      <c r="N69" s="29">
        <f>ROUND(M69*(1+Assumptions!D89),0)</f>
        <v/>
      </c>
      <c r="O69" s="29">
        <f>ROUND(N69*(1+Assumptions!D89),0)</f>
        <v/>
      </c>
      <c r="P69" s="29">
        <f>ROUND(O69*(1+Assumptions!D89),0)</f>
        <v/>
      </c>
      <c r="Q69" s="29">
        <f>ROUND(P69*(1+Assumptions!D89),0)</f>
        <v/>
      </c>
      <c r="R69" s="29">
        <f>ROUND(Q69*(1+Assumptions!D89),0)</f>
        <v/>
      </c>
      <c r="S69" s="29">
        <f>ROUND(R69*(1+Assumptions!D89),0)</f>
        <v/>
      </c>
      <c r="T69" s="29">
        <f>ROUND(S69*(1+Assumptions!D89),0)</f>
        <v/>
      </c>
      <c r="U69" s="29">
        <f>ROUND(T69*(1+Assumptions!D89),0)</f>
        <v/>
      </c>
      <c r="V69" s="29">
        <f>ROUND(U69*(1+Assumptions!D89),0)</f>
        <v/>
      </c>
      <c r="W69" s="29">
        <f>ROUND(V69*(1+Assumptions!D89),0)</f>
        <v/>
      </c>
      <c r="X69" s="29">
        <f>ROUND(W69*(1+Assumptions!D89),0)</f>
        <v/>
      </c>
      <c r="Y69" s="29">
        <f>ROUND(X69*(1+Assumptions!D89),0)</f>
        <v/>
      </c>
      <c r="Z69" s="29">
        <f>ROUND(Y69*(1+Assumptions!D89),0)</f>
        <v/>
      </c>
    </row>
    <row r="70">
      <c r="B70" s="27" t="inlineStr">
        <is>
          <t>TOTAL OPERATING EXPENSES</t>
        </is>
      </c>
      <c r="C70" s="32">
        <f>SUM(C64:C69)</f>
        <v/>
      </c>
      <c r="D70" s="32">
        <f>SUM(D64:D69)</f>
        <v/>
      </c>
      <c r="E70" s="32">
        <f>SUM(E64:E69)</f>
        <v/>
      </c>
      <c r="F70" s="32">
        <f>SUM(F64:F69)</f>
        <v/>
      </c>
      <c r="G70" s="32">
        <f>SUM(G64:G69)</f>
        <v/>
      </c>
      <c r="H70" s="32">
        <f>SUM(H64:H69)</f>
        <v/>
      </c>
      <c r="I70" s="32">
        <f>SUM(I64:I69)</f>
        <v/>
      </c>
      <c r="J70" s="32">
        <f>SUM(J64:J69)</f>
        <v/>
      </c>
      <c r="K70" s="32">
        <f>SUM(K64:K69)</f>
        <v/>
      </c>
      <c r="L70" s="32">
        <f>SUM(L64:L69)</f>
        <v/>
      </c>
      <c r="M70" s="32">
        <f>SUM(M64:M69)</f>
        <v/>
      </c>
      <c r="N70" s="32">
        <f>SUM(N64:N69)</f>
        <v/>
      </c>
      <c r="O70" s="32">
        <f>SUM(O64:O69)</f>
        <v/>
      </c>
      <c r="P70" s="32">
        <f>SUM(P64:P69)</f>
        <v/>
      </c>
      <c r="Q70" s="32">
        <f>SUM(Q64:Q69)</f>
        <v/>
      </c>
      <c r="R70" s="32">
        <f>SUM(R64:R69)</f>
        <v/>
      </c>
      <c r="S70" s="32">
        <f>SUM(S64:S69)</f>
        <v/>
      </c>
      <c r="T70" s="32">
        <f>SUM(T64:T69)</f>
        <v/>
      </c>
      <c r="U70" s="32">
        <f>SUM(U64:U69)</f>
        <v/>
      </c>
      <c r="V70" s="32">
        <f>SUM(V64:V69)</f>
        <v/>
      </c>
      <c r="W70" s="32">
        <f>SUM(W64:W69)</f>
        <v/>
      </c>
      <c r="X70" s="32">
        <f>SUM(X64:X69)</f>
        <v/>
      </c>
      <c r="Y70" s="32">
        <f>SUM(Y64:Y69)</f>
        <v/>
      </c>
      <c r="Z70" s="32">
        <f>SUM(Z64:Z69)</f>
        <v/>
      </c>
    </row>
    <row r="72">
      <c r="B72" s="3" t="inlineStr">
        <is>
          <t>PROFIT &amp; LOSS</t>
        </is>
      </c>
    </row>
    <row r="73">
      <c r="B73" s="30" t="inlineStr">
        <is>
          <t>EBITDA (Gross Profit - OpEx)</t>
        </is>
      </c>
      <c r="C73" s="31">
        <f>C60-C70</f>
        <v/>
      </c>
      <c r="D73" s="31">
        <f>D60-D70</f>
        <v/>
      </c>
      <c r="E73" s="31">
        <f>E60-E70</f>
        <v/>
      </c>
      <c r="F73" s="31">
        <f>F60-F70</f>
        <v/>
      </c>
      <c r="G73" s="31">
        <f>G60-G70</f>
        <v/>
      </c>
      <c r="H73" s="31">
        <f>H60-H70</f>
        <v/>
      </c>
      <c r="I73" s="31">
        <f>I60-I70</f>
        <v/>
      </c>
      <c r="J73" s="31">
        <f>J60-J70</f>
        <v/>
      </c>
      <c r="K73" s="31">
        <f>K60-K70</f>
        <v/>
      </c>
      <c r="L73" s="31">
        <f>L60-L70</f>
        <v/>
      </c>
      <c r="M73" s="31">
        <f>M60-M70</f>
        <v/>
      </c>
      <c r="N73" s="31">
        <f>N60-N70</f>
        <v/>
      </c>
      <c r="O73" s="31">
        <f>O60-O70</f>
        <v/>
      </c>
      <c r="P73" s="31">
        <f>P60-P70</f>
        <v/>
      </c>
      <c r="Q73" s="31">
        <f>Q60-Q70</f>
        <v/>
      </c>
      <c r="R73" s="31">
        <f>R60-R70</f>
        <v/>
      </c>
      <c r="S73" s="31">
        <f>S60-S70</f>
        <v/>
      </c>
      <c r="T73" s="31">
        <f>T60-T70</f>
        <v/>
      </c>
      <c r="U73" s="31">
        <f>U60-U70</f>
        <v/>
      </c>
      <c r="V73" s="31">
        <f>V60-V70</f>
        <v/>
      </c>
      <c r="W73" s="31">
        <f>W60-W70</f>
        <v/>
      </c>
      <c r="X73" s="31">
        <f>X60-X70</f>
        <v/>
      </c>
      <c r="Y73" s="31">
        <f>Y60-Y70</f>
        <v/>
      </c>
      <c r="Z73" s="31">
        <f>Z60-Z70</f>
        <v/>
      </c>
    </row>
    <row r="74">
      <c r="B74" s="12" t="inlineStr">
        <is>
          <t>EBITDA Margin %</t>
        </is>
      </c>
      <c r="C74" s="13">
        <f>IF(C52&gt;0,C73/C52,0)</f>
        <v/>
      </c>
      <c r="D74" s="13">
        <f>IF(D52&gt;0,D73/D52,0)</f>
        <v/>
      </c>
      <c r="E74" s="13">
        <f>IF(E52&gt;0,E73/E52,0)</f>
        <v/>
      </c>
      <c r="F74" s="13">
        <f>IF(F52&gt;0,F73/F52,0)</f>
        <v/>
      </c>
      <c r="G74" s="13">
        <f>IF(G52&gt;0,G73/G52,0)</f>
        <v/>
      </c>
      <c r="H74" s="13">
        <f>IF(H52&gt;0,H73/H52,0)</f>
        <v/>
      </c>
      <c r="I74" s="13">
        <f>IF(I52&gt;0,I73/I52,0)</f>
        <v/>
      </c>
      <c r="J74" s="13">
        <f>IF(J52&gt;0,J73/J52,0)</f>
        <v/>
      </c>
      <c r="K74" s="13">
        <f>IF(K52&gt;0,K73/K52,0)</f>
        <v/>
      </c>
      <c r="L74" s="13">
        <f>IF(L52&gt;0,L73/L52,0)</f>
        <v/>
      </c>
      <c r="M74" s="13">
        <f>IF(M52&gt;0,M73/M52,0)</f>
        <v/>
      </c>
      <c r="N74" s="13">
        <f>IF(N52&gt;0,N73/N52,0)</f>
        <v/>
      </c>
      <c r="O74" s="13">
        <f>IF(O52&gt;0,O73/O52,0)</f>
        <v/>
      </c>
      <c r="P74" s="13">
        <f>IF(P52&gt;0,P73/P52,0)</f>
        <v/>
      </c>
      <c r="Q74" s="13">
        <f>IF(Q52&gt;0,Q73/Q52,0)</f>
        <v/>
      </c>
      <c r="R74" s="13">
        <f>IF(R52&gt;0,R73/R52,0)</f>
        <v/>
      </c>
      <c r="S74" s="13">
        <f>IF(S52&gt;0,S73/S52,0)</f>
        <v/>
      </c>
      <c r="T74" s="13">
        <f>IF(T52&gt;0,T73/T52,0)</f>
        <v/>
      </c>
      <c r="U74" s="13">
        <f>IF(U52&gt;0,U73/U52,0)</f>
        <v/>
      </c>
      <c r="V74" s="13">
        <f>IF(V52&gt;0,V73/V52,0)</f>
        <v/>
      </c>
      <c r="W74" s="13">
        <f>IF(W52&gt;0,W73/W52,0)</f>
        <v/>
      </c>
      <c r="X74" s="13">
        <f>IF(X52&gt;0,X73/X52,0)</f>
        <v/>
      </c>
      <c r="Y74" s="13">
        <f>IF(Y52&gt;0,Y73/Y52,0)</f>
        <v/>
      </c>
      <c r="Z74" s="13">
        <f>IF(Z52&gt;0,Z73/Z52,0)</f>
        <v/>
      </c>
    </row>
    <row r="75">
      <c r="B75" s="5" t="inlineStr">
        <is>
          <t>Tax (on positive EBITDA)</t>
        </is>
      </c>
      <c r="C75" s="29">
        <f>IF(C73&gt;0,C73*Assumptions!C92,0)</f>
        <v/>
      </c>
      <c r="D75" s="29">
        <f>IF(D73&gt;0,D73*Assumptions!C92,0)</f>
        <v/>
      </c>
      <c r="E75" s="29">
        <f>IF(E73&gt;0,E73*Assumptions!C92,0)</f>
        <v/>
      </c>
      <c r="F75" s="29">
        <f>IF(F73&gt;0,F73*Assumptions!C92,0)</f>
        <v/>
      </c>
      <c r="G75" s="29">
        <f>IF(G73&gt;0,G73*Assumptions!C92,0)</f>
        <v/>
      </c>
      <c r="H75" s="29">
        <f>IF(H73&gt;0,H73*Assumptions!C92,0)</f>
        <v/>
      </c>
      <c r="I75" s="29">
        <f>IF(I73&gt;0,I73*Assumptions!C92,0)</f>
        <v/>
      </c>
      <c r="J75" s="29">
        <f>IF(J73&gt;0,J73*Assumptions!C92,0)</f>
        <v/>
      </c>
      <c r="K75" s="29">
        <f>IF(K73&gt;0,K73*Assumptions!C92,0)</f>
        <v/>
      </c>
      <c r="L75" s="29">
        <f>IF(L73&gt;0,L73*Assumptions!C92,0)</f>
        <v/>
      </c>
      <c r="M75" s="29">
        <f>IF(M73&gt;0,M73*Assumptions!C92,0)</f>
        <v/>
      </c>
      <c r="N75" s="29">
        <f>IF(N73&gt;0,N73*Assumptions!C92,0)</f>
        <v/>
      </c>
      <c r="O75" s="29">
        <f>IF(O73&gt;0,O73*Assumptions!C92,0)</f>
        <v/>
      </c>
      <c r="P75" s="29">
        <f>IF(P73&gt;0,P73*Assumptions!C92,0)</f>
        <v/>
      </c>
      <c r="Q75" s="29">
        <f>IF(Q73&gt;0,Q73*Assumptions!C92,0)</f>
        <v/>
      </c>
      <c r="R75" s="29">
        <f>IF(R73&gt;0,R73*Assumptions!C92,0)</f>
        <v/>
      </c>
      <c r="S75" s="29">
        <f>IF(S73&gt;0,S73*Assumptions!C92,0)</f>
        <v/>
      </c>
      <c r="T75" s="29">
        <f>IF(T73&gt;0,T73*Assumptions!C92,0)</f>
        <v/>
      </c>
      <c r="U75" s="29">
        <f>IF(U73&gt;0,U73*Assumptions!C92,0)</f>
        <v/>
      </c>
      <c r="V75" s="29">
        <f>IF(V73&gt;0,V73*Assumptions!C92,0)</f>
        <v/>
      </c>
      <c r="W75" s="29">
        <f>IF(W73&gt;0,W73*Assumptions!C92,0)</f>
        <v/>
      </c>
      <c r="X75" s="29">
        <f>IF(X73&gt;0,X73*Assumptions!C92,0)</f>
        <v/>
      </c>
      <c r="Y75" s="29">
        <f>IF(Y73&gt;0,Y73*Assumptions!C92,0)</f>
        <v/>
      </c>
      <c r="Z75" s="29">
        <f>IF(Z73&gt;0,Z73*Assumptions!C92,0)</f>
        <v/>
      </c>
    </row>
    <row r="76">
      <c r="B76" s="33" t="inlineStr">
        <is>
          <t>NET INCOME</t>
        </is>
      </c>
      <c r="C76" s="34">
        <f>C73-C75</f>
        <v/>
      </c>
      <c r="D76" s="34">
        <f>D73-D75</f>
        <v/>
      </c>
      <c r="E76" s="34">
        <f>E73-E75</f>
        <v/>
      </c>
      <c r="F76" s="34">
        <f>F73-F75</f>
        <v/>
      </c>
      <c r="G76" s="34">
        <f>G73-G75</f>
        <v/>
      </c>
      <c r="H76" s="34">
        <f>H73-H75</f>
        <v/>
      </c>
      <c r="I76" s="34">
        <f>I73-I75</f>
        <v/>
      </c>
      <c r="J76" s="34">
        <f>J73-J75</f>
        <v/>
      </c>
      <c r="K76" s="34">
        <f>K73-K75</f>
        <v/>
      </c>
      <c r="L76" s="34">
        <f>L73-L75</f>
        <v/>
      </c>
      <c r="M76" s="34">
        <f>M73-M75</f>
        <v/>
      </c>
      <c r="N76" s="34">
        <f>N73-N75</f>
        <v/>
      </c>
      <c r="O76" s="34">
        <f>O73-O75</f>
        <v/>
      </c>
      <c r="P76" s="34">
        <f>P73-P75</f>
        <v/>
      </c>
      <c r="Q76" s="34">
        <f>Q73-Q75</f>
        <v/>
      </c>
      <c r="R76" s="34">
        <f>R73-R75</f>
        <v/>
      </c>
      <c r="S76" s="34">
        <f>S73-S75</f>
        <v/>
      </c>
      <c r="T76" s="34">
        <f>T73-T75</f>
        <v/>
      </c>
      <c r="U76" s="34">
        <f>U73-U75</f>
        <v/>
      </c>
      <c r="V76" s="34">
        <f>V73-V75</f>
        <v/>
      </c>
      <c r="W76" s="34">
        <f>W73-W75</f>
        <v/>
      </c>
      <c r="X76" s="34">
        <f>X73-X75</f>
        <v/>
      </c>
      <c r="Y76" s="34">
        <f>Y73-Y75</f>
        <v/>
      </c>
      <c r="Z76" s="34">
        <f>Z73-Z75</f>
        <v/>
      </c>
    </row>
    <row r="77">
      <c r="B77" s="12" t="inlineStr">
        <is>
          <t>Cumulative Net Income</t>
        </is>
      </c>
      <c r="C77" s="35">
        <f>C76</f>
        <v/>
      </c>
      <c r="D77" s="35">
        <f>C77+D76</f>
        <v/>
      </c>
      <c r="E77" s="35">
        <f>D77+E76</f>
        <v/>
      </c>
      <c r="F77" s="35">
        <f>E77+F76</f>
        <v/>
      </c>
      <c r="G77" s="35">
        <f>F77+G76</f>
        <v/>
      </c>
      <c r="H77" s="35">
        <f>G77+H76</f>
        <v/>
      </c>
      <c r="I77" s="35">
        <f>H77+I76</f>
        <v/>
      </c>
      <c r="J77" s="35">
        <f>I77+J76</f>
        <v/>
      </c>
      <c r="K77" s="35">
        <f>J77+K76</f>
        <v/>
      </c>
      <c r="L77" s="35">
        <f>K77+L76</f>
        <v/>
      </c>
      <c r="M77" s="35">
        <f>L77+M76</f>
        <v/>
      </c>
      <c r="N77" s="35">
        <f>M77+N76</f>
        <v/>
      </c>
      <c r="O77" s="35">
        <f>N77+O76</f>
        <v/>
      </c>
      <c r="P77" s="35">
        <f>O77+P76</f>
        <v/>
      </c>
      <c r="Q77" s="35">
        <f>P77+Q76</f>
        <v/>
      </c>
      <c r="R77" s="35">
        <f>Q77+R76</f>
        <v/>
      </c>
      <c r="S77" s="35">
        <f>R77+S76</f>
        <v/>
      </c>
      <c r="T77" s="35">
        <f>S77+T76</f>
        <v/>
      </c>
      <c r="U77" s="35">
        <f>T77+U76</f>
        <v/>
      </c>
      <c r="V77" s="35">
        <f>U77+V76</f>
        <v/>
      </c>
      <c r="W77" s="35">
        <f>V77+W76</f>
        <v/>
      </c>
      <c r="X77" s="35">
        <f>W77+X76</f>
        <v/>
      </c>
      <c r="Y77" s="35">
        <f>X77+Y76</f>
        <v/>
      </c>
      <c r="Z77" s="35">
        <f>Y77+Z76</f>
        <v/>
      </c>
    </row>
    <row r="79">
      <c r="B79" s="3" t="inlineStr">
        <is>
          <t>KEY METRICS</t>
        </is>
      </c>
    </row>
    <row r="80">
      <c r="B80" s="5" t="inlineStr">
        <is>
          <t>Customer Acquisition Cost (CAC)</t>
        </is>
      </c>
      <c r="C80" s="26">
        <f>IF(C9&gt;0,C65/C9,0)</f>
        <v/>
      </c>
      <c r="D80" s="26">
        <f>IF(D9&gt;0,D65/D9,0)</f>
        <v/>
      </c>
      <c r="E80" s="26">
        <f>IF(E9&gt;0,E65/E9,0)</f>
        <v/>
      </c>
      <c r="F80" s="26">
        <f>IF(F9&gt;0,F65/F9,0)</f>
        <v/>
      </c>
      <c r="G80" s="26">
        <f>IF(G9&gt;0,G65/G9,0)</f>
        <v/>
      </c>
      <c r="H80" s="26">
        <f>IF(H9&gt;0,H65/H9,0)</f>
        <v/>
      </c>
      <c r="I80" s="26">
        <f>IF(I9&gt;0,I65/I9,0)</f>
        <v/>
      </c>
      <c r="J80" s="26">
        <f>IF(J9&gt;0,J65/J9,0)</f>
        <v/>
      </c>
      <c r="K80" s="26">
        <f>IF(K9&gt;0,K65/K9,0)</f>
        <v/>
      </c>
      <c r="L80" s="26">
        <f>IF(L9&gt;0,L65/L9,0)</f>
        <v/>
      </c>
      <c r="M80" s="26">
        <f>IF(M9&gt;0,M65/M9,0)</f>
        <v/>
      </c>
      <c r="N80" s="26">
        <f>IF(N9&gt;0,N65/N9,0)</f>
        <v/>
      </c>
      <c r="O80" s="26">
        <f>IF(O9&gt;0,O65/O9,0)</f>
        <v/>
      </c>
      <c r="P80" s="26">
        <f>IF(P9&gt;0,P65/P9,0)</f>
        <v/>
      </c>
      <c r="Q80" s="26">
        <f>IF(Q9&gt;0,Q65/Q9,0)</f>
        <v/>
      </c>
      <c r="R80" s="26">
        <f>IF(R9&gt;0,R65/R9,0)</f>
        <v/>
      </c>
      <c r="S80" s="26">
        <f>IF(S9&gt;0,S65/S9,0)</f>
        <v/>
      </c>
      <c r="T80" s="26">
        <f>IF(T9&gt;0,T65/T9,0)</f>
        <v/>
      </c>
      <c r="U80" s="26">
        <f>IF(U9&gt;0,U65/U9,0)</f>
        <v/>
      </c>
      <c r="V80" s="26">
        <f>IF(V9&gt;0,V65/V9,0)</f>
        <v/>
      </c>
      <c r="W80" s="26">
        <f>IF(W9&gt;0,W65/W9,0)</f>
        <v/>
      </c>
      <c r="X80" s="26">
        <f>IF(X9&gt;0,X65/X9,0)</f>
        <v/>
      </c>
      <c r="Y80" s="26">
        <f>IF(Y9&gt;0,Y65/Y9,0)</f>
        <v/>
      </c>
      <c r="Z80" s="26">
        <f>IF(Z9&gt;0,Z65/Z9,0)</f>
        <v/>
      </c>
    </row>
    <row r="81">
      <c r="B81" s="5" t="inlineStr">
        <is>
          <t>Avg Revenue Per Charm Sold</t>
        </is>
      </c>
      <c r="C81" s="26">
        <f>IF(C9&gt;0,C52/C9,0)</f>
        <v/>
      </c>
      <c r="D81" s="26">
        <f>IF(D9&gt;0,D52/D9,0)</f>
        <v/>
      </c>
      <c r="E81" s="26">
        <f>IF(E9&gt;0,E52/E9,0)</f>
        <v/>
      </c>
      <c r="F81" s="26">
        <f>IF(F9&gt;0,F52/F9,0)</f>
        <v/>
      </c>
      <c r="G81" s="26">
        <f>IF(G9&gt;0,G52/G9,0)</f>
        <v/>
      </c>
      <c r="H81" s="26">
        <f>IF(H9&gt;0,H52/H9,0)</f>
        <v/>
      </c>
      <c r="I81" s="26">
        <f>IF(I9&gt;0,I52/I9,0)</f>
        <v/>
      </c>
      <c r="J81" s="26">
        <f>IF(J9&gt;0,J52/J9,0)</f>
        <v/>
      </c>
      <c r="K81" s="26">
        <f>IF(K9&gt;0,K52/K9,0)</f>
        <v/>
      </c>
      <c r="L81" s="26">
        <f>IF(L9&gt;0,L52/L9,0)</f>
        <v/>
      </c>
      <c r="M81" s="26">
        <f>IF(M9&gt;0,M52/M9,0)</f>
        <v/>
      </c>
      <c r="N81" s="26">
        <f>IF(N9&gt;0,N52/N9,0)</f>
        <v/>
      </c>
      <c r="O81" s="26">
        <f>IF(O9&gt;0,O52/O9,0)</f>
        <v/>
      </c>
      <c r="P81" s="26">
        <f>IF(P9&gt;0,P52/P9,0)</f>
        <v/>
      </c>
      <c r="Q81" s="26">
        <f>IF(Q9&gt;0,Q52/Q9,0)</f>
        <v/>
      </c>
      <c r="R81" s="26">
        <f>IF(R9&gt;0,R52/R9,0)</f>
        <v/>
      </c>
      <c r="S81" s="26">
        <f>IF(S9&gt;0,S52/S9,0)</f>
        <v/>
      </c>
      <c r="T81" s="26">
        <f>IF(T9&gt;0,T52/T9,0)</f>
        <v/>
      </c>
      <c r="U81" s="26">
        <f>IF(U9&gt;0,U52/U9,0)</f>
        <v/>
      </c>
      <c r="V81" s="26">
        <f>IF(V9&gt;0,V52/V9,0)</f>
        <v/>
      </c>
      <c r="W81" s="26">
        <f>IF(W9&gt;0,W52/W9,0)</f>
        <v/>
      </c>
      <c r="X81" s="26">
        <f>IF(X9&gt;0,X52/X9,0)</f>
        <v/>
      </c>
      <c r="Y81" s="26">
        <f>IF(Y9&gt;0,Y52/Y9,0)</f>
        <v/>
      </c>
      <c r="Z81" s="26">
        <f>IF(Z9&gt;0,Z52/Z9,0)</f>
        <v/>
      </c>
    </row>
    <row r="82">
      <c r="B82" s="5" t="inlineStr">
        <is>
          <t>All-in Cost Per Charm (COGS+OpEx)</t>
        </is>
      </c>
      <c r="C82" s="26">
        <f>IF(C9&gt;0,(C59+C70)/C9,0)</f>
        <v/>
      </c>
      <c r="D82" s="26">
        <f>IF(D9&gt;0,(D59+D70)/D9,0)</f>
        <v/>
      </c>
      <c r="E82" s="26">
        <f>IF(E9&gt;0,(E59+E70)/E9,0)</f>
        <v/>
      </c>
      <c r="F82" s="26">
        <f>IF(F9&gt;0,(F59+F70)/F9,0)</f>
        <v/>
      </c>
      <c r="G82" s="26">
        <f>IF(G9&gt;0,(G59+G70)/G9,0)</f>
        <v/>
      </c>
      <c r="H82" s="26">
        <f>IF(H9&gt;0,(H59+H70)/H9,0)</f>
        <v/>
      </c>
      <c r="I82" s="26">
        <f>IF(I9&gt;0,(I59+I70)/I9,0)</f>
        <v/>
      </c>
      <c r="J82" s="26">
        <f>IF(J9&gt;0,(J59+J70)/J9,0)</f>
        <v/>
      </c>
      <c r="K82" s="26">
        <f>IF(K9&gt;0,(K59+K70)/K9,0)</f>
        <v/>
      </c>
      <c r="L82" s="26">
        <f>IF(L9&gt;0,(L59+L70)/L9,0)</f>
        <v/>
      </c>
      <c r="M82" s="26">
        <f>IF(M9&gt;0,(M59+M70)/M9,0)</f>
        <v/>
      </c>
      <c r="N82" s="26">
        <f>IF(N9&gt;0,(N59+N70)/N9,0)</f>
        <v/>
      </c>
      <c r="O82" s="26">
        <f>IF(O9&gt;0,(O59+O70)/O9,0)</f>
        <v/>
      </c>
      <c r="P82" s="26">
        <f>IF(P9&gt;0,(P59+P70)/P9,0)</f>
        <v/>
      </c>
      <c r="Q82" s="26">
        <f>IF(Q9&gt;0,(Q59+Q70)/Q9,0)</f>
        <v/>
      </c>
      <c r="R82" s="26">
        <f>IF(R9&gt;0,(R59+R70)/R9,0)</f>
        <v/>
      </c>
      <c r="S82" s="26">
        <f>IF(S9&gt;0,(S59+S70)/S9,0)</f>
        <v/>
      </c>
      <c r="T82" s="26">
        <f>IF(T9&gt;0,(T59+T70)/T9,0)</f>
        <v/>
      </c>
      <c r="U82" s="26">
        <f>IF(U9&gt;0,(U59+U70)/U9,0)</f>
        <v/>
      </c>
      <c r="V82" s="26">
        <f>IF(V9&gt;0,(V59+V70)/V9,0)</f>
        <v/>
      </c>
      <c r="W82" s="26">
        <f>IF(W9&gt;0,(W59+W70)/W9,0)</f>
        <v/>
      </c>
      <c r="X82" s="26">
        <f>IF(X9&gt;0,(X59+X70)/X9,0)</f>
        <v/>
      </c>
      <c r="Y82" s="26">
        <f>IF(Y9&gt;0,(Y59+Y70)/Y9,0)</f>
        <v/>
      </c>
      <c r="Z82" s="26">
        <f>IF(Z9&gt;0,(Z59+Z70)/Z9,0)</f>
        <v/>
      </c>
    </row>
    <row r="83">
      <c r="B83" s="5" t="inlineStr">
        <is>
          <t>Infra Cost Per Active Charm (Monthly)</t>
        </is>
      </c>
      <c r="C83" s="36">
        <f>IF(C11&gt;0,C43/C11,0)</f>
        <v/>
      </c>
      <c r="D83" s="36">
        <f>IF(D11&gt;0,D43/D11,0)</f>
        <v/>
      </c>
      <c r="E83" s="36">
        <f>IF(E11&gt;0,E43/E11,0)</f>
        <v/>
      </c>
      <c r="F83" s="36">
        <f>IF(F11&gt;0,F43/F11,0)</f>
        <v/>
      </c>
      <c r="G83" s="36">
        <f>IF(G11&gt;0,G43/G11,0)</f>
        <v/>
      </c>
      <c r="H83" s="36">
        <f>IF(H11&gt;0,H43/H11,0)</f>
        <v/>
      </c>
      <c r="I83" s="36">
        <f>IF(I11&gt;0,I43/I11,0)</f>
        <v/>
      </c>
      <c r="J83" s="36">
        <f>IF(J11&gt;0,J43/J11,0)</f>
        <v/>
      </c>
      <c r="K83" s="36">
        <f>IF(K11&gt;0,K43/K11,0)</f>
        <v/>
      </c>
      <c r="L83" s="36">
        <f>IF(L11&gt;0,L43/L11,0)</f>
        <v/>
      </c>
      <c r="M83" s="36">
        <f>IF(M11&gt;0,M43/M11,0)</f>
        <v/>
      </c>
      <c r="N83" s="36">
        <f>IF(N11&gt;0,N43/N11,0)</f>
        <v/>
      </c>
      <c r="O83" s="36">
        <f>IF(O11&gt;0,O43/O11,0)</f>
        <v/>
      </c>
      <c r="P83" s="36">
        <f>IF(P11&gt;0,P43/P11,0)</f>
        <v/>
      </c>
      <c r="Q83" s="36">
        <f>IF(Q11&gt;0,Q43/Q11,0)</f>
        <v/>
      </c>
      <c r="R83" s="36">
        <f>IF(R11&gt;0,R43/R11,0)</f>
        <v/>
      </c>
      <c r="S83" s="36">
        <f>IF(S11&gt;0,S43/S11,0)</f>
        <v/>
      </c>
      <c r="T83" s="36">
        <f>IF(T11&gt;0,T43/T11,0)</f>
        <v/>
      </c>
      <c r="U83" s="36">
        <f>IF(U11&gt;0,U43/U11,0)</f>
        <v/>
      </c>
      <c r="V83" s="36">
        <f>IF(V11&gt;0,V43/V11,0)</f>
        <v/>
      </c>
      <c r="W83" s="36">
        <f>IF(W11&gt;0,W43/W11,0)</f>
        <v/>
      </c>
      <c r="X83" s="36">
        <f>IF(X11&gt;0,X43/X11,0)</f>
        <v/>
      </c>
      <c r="Y83" s="36">
        <f>IF(Y11&gt;0,Y43/Y11,0)</f>
        <v/>
      </c>
      <c r="Z83" s="36">
        <f>IF(Z11&gt;0,Z43/Z11,0)</f>
        <v/>
      </c>
    </row>
    <row r="84">
      <c r="B84" s="5" t="inlineStr">
        <is>
          <t>Total Storage (GB — Azure + R2 combined)</t>
        </is>
      </c>
      <c r="C84" s="24">
        <f>C15*2</f>
        <v/>
      </c>
      <c r="D84" s="24">
        <f>D15*2</f>
        <v/>
      </c>
      <c r="E84" s="24">
        <f>E15*2</f>
        <v/>
      </c>
      <c r="F84" s="24">
        <f>F15*2</f>
        <v/>
      </c>
      <c r="G84" s="24">
        <f>G15*2</f>
        <v/>
      </c>
      <c r="H84" s="24">
        <f>H15*2</f>
        <v/>
      </c>
      <c r="I84" s="24">
        <f>I15*2</f>
        <v/>
      </c>
      <c r="J84" s="24">
        <f>J15*2</f>
        <v/>
      </c>
      <c r="K84" s="24">
        <f>K15*2</f>
        <v/>
      </c>
      <c r="L84" s="24">
        <f>L15*2</f>
        <v/>
      </c>
      <c r="M84" s="24">
        <f>M15*2</f>
        <v/>
      </c>
      <c r="N84" s="24">
        <f>N15*2</f>
        <v/>
      </c>
      <c r="O84" s="24">
        <f>O15*2</f>
        <v/>
      </c>
      <c r="P84" s="24">
        <f>P15*2</f>
        <v/>
      </c>
      <c r="Q84" s="24">
        <f>Q15*2</f>
        <v/>
      </c>
      <c r="R84" s="24">
        <f>R15*2</f>
        <v/>
      </c>
      <c r="S84" s="24">
        <f>S15*2</f>
        <v/>
      </c>
      <c r="T84" s="24">
        <f>T15*2</f>
        <v/>
      </c>
      <c r="U84" s="24">
        <f>U15*2</f>
        <v/>
      </c>
      <c r="V84" s="24">
        <f>V15*2</f>
        <v/>
      </c>
      <c r="W84" s="24">
        <f>W15*2</f>
        <v/>
      </c>
      <c r="X84" s="24">
        <f>X15*2</f>
        <v/>
      </c>
      <c r="Y84" s="24">
        <f>Y15*2</f>
        <v/>
      </c>
      <c r="Z84" s="24">
        <f>Z15*2</f>
        <v/>
      </c>
    </row>
    <row r="85">
      <c r="B85" s="5" t="inlineStr">
        <is>
          <t>Monthly Profitable? (EBITDA &gt; 0)</t>
        </is>
      </c>
      <c r="C85" s="37">
        <f>IF(C73&gt;0,"YES","NO")</f>
        <v/>
      </c>
      <c r="D85" s="37">
        <f>IF(D73&gt;0,"YES","NO")</f>
        <v/>
      </c>
      <c r="E85" s="37">
        <f>IF(E73&gt;0,"YES","NO")</f>
        <v/>
      </c>
      <c r="F85" s="37">
        <f>IF(F73&gt;0,"YES","NO")</f>
        <v/>
      </c>
      <c r="G85" s="37">
        <f>IF(G73&gt;0,"YES","NO")</f>
        <v/>
      </c>
      <c r="H85" s="37">
        <f>IF(H73&gt;0,"YES","NO")</f>
        <v/>
      </c>
      <c r="I85" s="37">
        <f>IF(I73&gt;0,"YES","NO")</f>
        <v/>
      </c>
      <c r="J85" s="37">
        <f>IF(J73&gt;0,"YES","NO")</f>
        <v/>
      </c>
      <c r="K85" s="37">
        <f>IF(K73&gt;0,"YES","NO")</f>
        <v/>
      </c>
      <c r="L85" s="37">
        <f>IF(L73&gt;0,"YES","NO")</f>
        <v/>
      </c>
      <c r="M85" s="37">
        <f>IF(M73&gt;0,"YES","NO")</f>
        <v/>
      </c>
      <c r="N85" s="37">
        <f>IF(N73&gt;0,"YES","NO")</f>
        <v/>
      </c>
      <c r="O85" s="37">
        <f>IF(O73&gt;0,"YES","NO")</f>
        <v/>
      </c>
      <c r="P85" s="37">
        <f>IF(P73&gt;0,"YES","NO")</f>
        <v/>
      </c>
      <c r="Q85" s="37">
        <f>IF(Q73&gt;0,"YES","NO")</f>
        <v/>
      </c>
      <c r="R85" s="37">
        <f>IF(R73&gt;0,"YES","NO")</f>
        <v/>
      </c>
      <c r="S85" s="37">
        <f>IF(S73&gt;0,"YES","NO")</f>
        <v/>
      </c>
      <c r="T85" s="37">
        <f>IF(T73&gt;0,"YES","NO")</f>
        <v/>
      </c>
      <c r="U85" s="37">
        <f>IF(U73&gt;0,"YES","NO")</f>
        <v/>
      </c>
      <c r="V85" s="37">
        <f>IF(V73&gt;0,"YES","NO")</f>
        <v/>
      </c>
      <c r="W85" s="37">
        <f>IF(W73&gt;0,"YES","NO")</f>
        <v/>
      </c>
      <c r="X85" s="37">
        <f>IF(X73&gt;0,"YES","NO")</f>
        <v/>
      </c>
      <c r="Y85" s="37">
        <f>IF(Y73&gt;0,"YES","NO")</f>
        <v/>
      </c>
      <c r="Z85" s="37">
        <f>IF(Z73&gt;0,"YES","NO")</f>
        <v/>
      </c>
    </row>
    <row r="87">
      <c r="B87" s="3" t="inlineStr">
        <is>
          <t>RETURNS &amp; REPLACEMENTS</t>
        </is>
      </c>
    </row>
    <row r="88">
      <c r="B88" s="5" t="inlineStr">
        <is>
          <t>Returned Charms (units)</t>
        </is>
      </c>
      <c r="C88" s="19">
        <f>ROUND(C9*Assumptions!C96,0)</f>
        <v/>
      </c>
      <c r="D88" s="19">
        <f>ROUND(D9*Assumptions!C96,0)</f>
        <v/>
      </c>
      <c r="E88" s="19">
        <f>ROUND(E9*Assumptions!C96,0)</f>
        <v/>
      </c>
      <c r="F88" s="19">
        <f>ROUND(F9*Assumptions!C96,0)</f>
        <v/>
      </c>
      <c r="G88" s="19">
        <f>ROUND(G9*Assumptions!C96,0)</f>
        <v/>
      </c>
      <c r="H88" s="19">
        <f>ROUND(H9*Assumptions!C96,0)</f>
        <v/>
      </c>
      <c r="I88" s="19">
        <f>ROUND(I9*Assumptions!C96,0)</f>
        <v/>
      </c>
      <c r="J88" s="19">
        <f>ROUND(J9*Assumptions!C96,0)</f>
        <v/>
      </c>
      <c r="K88" s="19">
        <f>ROUND(K9*Assumptions!C96,0)</f>
        <v/>
      </c>
      <c r="L88" s="19">
        <f>ROUND(L9*Assumptions!C96,0)</f>
        <v/>
      </c>
      <c r="M88" s="19">
        <f>ROUND(M9*Assumptions!C96,0)</f>
        <v/>
      </c>
      <c r="N88" s="19">
        <f>ROUND(N9*Assumptions!C96,0)</f>
        <v/>
      </c>
      <c r="O88" s="19">
        <f>ROUND(O9*Assumptions!C96,0)</f>
        <v/>
      </c>
      <c r="P88" s="19">
        <f>ROUND(P9*Assumptions!C96,0)</f>
        <v/>
      </c>
      <c r="Q88" s="19">
        <f>ROUND(Q9*Assumptions!C96,0)</f>
        <v/>
      </c>
      <c r="R88" s="19">
        <f>ROUND(R9*Assumptions!C96,0)</f>
        <v/>
      </c>
      <c r="S88" s="19">
        <f>ROUND(S9*Assumptions!C96,0)</f>
        <v/>
      </c>
      <c r="T88" s="19">
        <f>ROUND(T9*Assumptions!C96,0)</f>
        <v/>
      </c>
      <c r="U88" s="19">
        <f>ROUND(U9*Assumptions!C96,0)</f>
        <v/>
      </c>
      <c r="V88" s="19">
        <f>ROUND(V9*Assumptions!C96,0)</f>
        <v/>
      </c>
      <c r="W88" s="19">
        <f>ROUND(W9*Assumptions!C96,0)</f>
        <v/>
      </c>
      <c r="X88" s="19">
        <f>ROUND(X9*Assumptions!C96,0)</f>
        <v/>
      </c>
      <c r="Y88" s="19">
        <f>ROUND(Y9*Assumptions!C96,0)</f>
        <v/>
      </c>
      <c r="Z88" s="19">
        <f>ROUND(Z9*Assumptions!C96,0)</f>
        <v/>
      </c>
    </row>
    <row r="89">
      <c r="B89" s="5" t="inlineStr">
        <is>
          <t xml:space="preserve">  Pre-Claim Returns (restockable)</t>
        </is>
      </c>
      <c r="C89" s="19">
        <f>ROUND(C88*Assumptions!C97,0)</f>
        <v/>
      </c>
      <c r="D89" s="19">
        <f>ROUND(D88*Assumptions!C97,0)</f>
        <v/>
      </c>
      <c r="E89" s="19">
        <f>ROUND(E88*Assumptions!C97,0)</f>
        <v/>
      </c>
      <c r="F89" s="19">
        <f>ROUND(F88*Assumptions!C97,0)</f>
        <v/>
      </c>
      <c r="G89" s="19">
        <f>ROUND(G88*Assumptions!C97,0)</f>
        <v/>
      </c>
      <c r="H89" s="19">
        <f>ROUND(H88*Assumptions!C97,0)</f>
        <v/>
      </c>
      <c r="I89" s="19">
        <f>ROUND(I88*Assumptions!C97,0)</f>
        <v/>
      </c>
      <c r="J89" s="19">
        <f>ROUND(J88*Assumptions!C97,0)</f>
        <v/>
      </c>
      <c r="K89" s="19">
        <f>ROUND(K88*Assumptions!C97,0)</f>
        <v/>
      </c>
      <c r="L89" s="19">
        <f>ROUND(L88*Assumptions!C97,0)</f>
        <v/>
      </c>
      <c r="M89" s="19">
        <f>ROUND(M88*Assumptions!C97,0)</f>
        <v/>
      </c>
      <c r="N89" s="19">
        <f>ROUND(N88*Assumptions!C97,0)</f>
        <v/>
      </c>
      <c r="O89" s="19">
        <f>ROUND(O88*Assumptions!C97,0)</f>
        <v/>
      </c>
      <c r="P89" s="19">
        <f>ROUND(P88*Assumptions!C97,0)</f>
        <v/>
      </c>
      <c r="Q89" s="19">
        <f>ROUND(Q88*Assumptions!C97,0)</f>
        <v/>
      </c>
      <c r="R89" s="19">
        <f>ROUND(R88*Assumptions!C97,0)</f>
        <v/>
      </c>
      <c r="S89" s="19">
        <f>ROUND(S88*Assumptions!C97,0)</f>
        <v/>
      </c>
      <c r="T89" s="19">
        <f>ROUND(T88*Assumptions!C97,0)</f>
        <v/>
      </c>
      <c r="U89" s="19">
        <f>ROUND(U88*Assumptions!C97,0)</f>
        <v/>
      </c>
      <c r="V89" s="19">
        <f>ROUND(V88*Assumptions!C97,0)</f>
        <v/>
      </c>
      <c r="W89" s="19">
        <f>ROUND(W88*Assumptions!C97,0)</f>
        <v/>
      </c>
      <c r="X89" s="19">
        <f>ROUND(X88*Assumptions!C97,0)</f>
        <v/>
      </c>
      <c r="Y89" s="19">
        <f>ROUND(Y88*Assumptions!C97,0)</f>
        <v/>
      </c>
      <c r="Z89" s="19">
        <f>ROUND(Z88*Assumptions!C97,0)</f>
        <v/>
      </c>
    </row>
    <row r="90">
      <c r="B90" s="5" t="inlineStr">
        <is>
          <t xml:space="preserve">  Post-Claim Returns (dead stock)</t>
        </is>
      </c>
      <c r="C90" s="19">
        <f>C88-C89</f>
        <v/>
      </c>
      <c r="D90" s="19">
        <f>D88-D89</f>
        <v/>
      </c>
      <c r="E90" s="19">
        <f>E88-E89</f>
        <v/>
      </c>
      <c r="F90" s="19">
        <f>F88-F89</f>
        <v/>
      </c>
      <c r="G90" s="19">
        <f>G88-G89</f>
        <v/>
      </c>
      <c r="H90" s="19">
        <f>H88-H89</f>
        <v/>
      </c>
      <c r="I90" s="19">
        <f>I88-I89</f>
        <v/>
      </c>
      <c r="J90" s="19">
        <f>J88-J89</f>
        <v/>
      </c>
      <c r="K90" s="19">
        <f>K88-K89</f>
        <v/>
      </c>
      <c r="L90" s="19">
        <f>L88-L89</f>
        <v/>
      </c>
      <c r="M90" s="19">
        <f>M88-M89</f>
        <v/>
      </c>
      <c r="N90" s="19">
        <f>N88-N89</f>
        <v/>
      </c>
      <c r="O90" s="19">
        <f>O88-O89</f>
        <v/>
      </c>
      <c r="P90" s="19">
        <f>P88-P89</f>
        <v/>
      </c>
      <c r="Q90" s="19">
        <f>Q88-Q89</f>
        <v/>
      </c>
      <c r="R90" s="19">
        <f>R88-R89</f>
        <v/>
      </c>
      <c r="S90" s="19">
        <f>S88-S89</f>
        <v/>
      </c>
      <c r="T90" s="19">
        <f>T88-T89</f>
        <v/>
      </c>
      <c r="U90" s="19">
        <f>U88-U89</f>
        <v/>
      </c>
      <c r="V90" s="19">
        <f>V88-V89</f>
        <v/>
      </c>
      <c r="W90" s="19">
        <f>W88-W89</f>
        <v/>
      </c>
      <c r="X90" s="19">
        <f>X88-X89</f>
        <v/>
      </c>
      <c r="Y90" s="19">
        <f>Y88-Y89</f>
        <v/>
      </c>
      <c r="Z90" s="19">
        <f>Z88-Z89</f>
        <v/>
      </c>
    </row>
    <row r="91">
      <c r="B91" s="5" t="inlineStr">
        <is>
          <t>Replacement Charms Shipped (defects)</t>
        </is>
      </c>
      <c r="C91" s="19">
        <f>ROUND(C9*Assumptions!C101,0)</f>
        <v/>
      </c>
      <c r="D91" s="19">
        <f>ROUND(D9*Assumptions!C101,0)</f>
        <v/>
      </c>
      <c r="E91" s="19">
        <f>ROUND(E9*Assumptions!C101,0)</f>
        <v/>
      </c>
      <c r="F91" s="19">
        <f>ROUND(F9*Assumptions!C101,0)</f>
        <v/>
      </c>
      <c r="G91" s="19">
        <f>ROUND(G9*Assumptions!C101,0)</f>
        <v/>
      </c>
      <c r="H91" s="19">
        <f>ROUND(H9*Assumptions!C101,0)</f>
        <v/>
      </c>
      <c r="I91" s="19">
        <f>ROUND(I9*Assumptions!C101,0)</f>
        <v/>
      </c>
      <c r="J91" s="19">
        <f>ROUND(J9*Assumptions!C101,0)</f>
        <v/>
      </c>
      <c r="K91" s="19">
        <f>ROUND(K9*Assumptions!C101,0)</f>
        <v/>
      </c>
      <c r="L91" s="19">
        <f>ROUND(L9*Assumptions!C101,0)</f>
        <v/>
      </c>
      <c r="M91" s="19">
        <f>ROUND(M9*Assumptions!C101,0)</f>
        <v/>
      </c>
      <c r="N91" s="19">
        <f>ROUND(N9*Assumptions!C101,0)</f>
        <v/>
      </c>
      <c r="O91" s="19">
        <f>ROUND(O9*Assumptions!C101,0)</f>
        <v/>
      </c>
      <c r="P91" s="19">
        <f>ROUND(P9*Assumptions!C101,0)</f>
        <v/>
      </c>
      <c r="Q91" s="19">
        <f>ROUND(Q9*Assumptions!C101,0)</f>
        <v/>
      </c>
      <c r="R91" s="19">
        <f>ROUND(R9*Assumptions!C101,0)</f>
        <v/>
      </c>
      <c r="S91" s="19">
        <f>ROUND(S9*Assumptions!C101,0)</f>
        <v/>
      </c>
      <c r="T91" s="19">
        <f>ROUND(T9*Assumptions!C101,0)</f>
        <v/>
      </c>
      <c r="U91" s="19">
        <f>ROUND(U9*Assumptions!C101,0)</f>
        <v/>
      </c>
      <c r="V91" s="19">
        <f>ROUND(V9*Assumptions!C101,0)</f>
        <v/>
      </c>
      <c r="W91" s="19">
        <f>ROUND(W9*Assumptions!C101,0)</f>
        <v/>
      </c>
      <c r="X91" s="19">
        <f>ROUND(X9*Assumptions!C101,0)</f>
        <v/>
      </c>
      <c r="Y91" s="19">
        <f>ROUND(Y9*Assumptions!C101,0)</f>
        <v/>
      </c>
      <c r="Z91" s="19">
        <f>ROUND(Z9*Assumptions!C101,0)</f>
        <v/>
      </c>
    </row>
    <row r="93">
      <c r="B93" s="12" t="inlineStr">
        <is>
          <t>RETURN &amp; REPLACEMENT COSTS</t>
        </is>
      </c>
    </row>
    <row r="94">
      <c r="B94" s="5" t="inlineStr">
        <is>
          <t>Refund Amount (returned units x avg price)</t>
        </is>
      </c>
      <c r="C94" s="29">
        <f>IF(C9&gt;0, C88*(C52/C9), 0)</f>
        <v/>
      </c>
      <c r="D94" s="29">
        <f>IF(D9&gt;0, D88*(D52/D9), 0)</f>
        <v/>
      </c>
      <c r="E94" s="29">
        <f>IF(E9&gt;0, E88*(E52/E9), 0)</f>
        <v/>
      </c>
      <c r="F94" s="29">
        <f>IF(F9&gt;0, F88*(F52/F9), 0)</f>
        <v/>
      </c>
      <c r="G94" s="29">
        <f>IF(G9&gt;0, G88*(G52/G9), 0)</f>
        <v/>
      </c>
      <c r="H94" s="29">
        <f>IF(H9&gt;0, H88*(H52/H9), 0)</f>
        <v/>
      </c>
      <c r="I94" s="29">
        <f>IF(I9&gt;0, I88*(I52/I9), 0)</f>
        <v/>
      </c>
      <c r="J94" s="29">
        <f>IF(J9&gt;0, J88*(J52/J9), 0)</f>
        <v/>
      </c>
      <c r="K94" s="29">
        <f>IF(K9&gt;0, K88*(K52/K9), 0)</f>
        <v/>
      </c>
      <c r="L94" s="29">
        <f>IF(L9&gt;0, L88*(L52/L9), 0)</f>
        <v/>
      </c>
      <c r="M94" s="29">
        <f>IF(M9&gt;0, M88*(M52/M9), 0)</f>
        <v/>
      </c>
      <c r="N94" s="29">
        <f>IF(N9&gt;0, N88*(N52/N9), 0)</f>
        <v/>
      </c>
      <c r="O94" s="29">
        <f>IF(O9&gt;0, O88*(O52/O9), 0)</f>
        <v/>
      </c>
      <c r="P94" s="29">
        <f>IF(P9&gt;0, P88*(P52/P9), 0)</f>
        <v/>
      </c>
      <c r="Q94" s="29">
        <f>IF(Q9&gt;0, Q88*(Q52/Q9), 0)</f>
        <v/>
      </c>
      <c r="R94" s="29">
        <f>IF(R9&gt;0, R88*(R52/R9), 0)</f>
        <v/>
      </c>
      <c r="S94" s="29">
        <f>IF(S9&gt;0, S88*(S52/S9), 0)</f>
        <v/>
      </c>
      <c r="T94" s="29">
        <f>IF(T9&gt;0, T88*(T52/T9), 0)</f>
        <v/>
      </c>
      <c r="U94" s="29">
        <f>IF(U9&gt;0, U88*(U52/U9), 0)</f>
        <v/>
      </c>
      <c r="V94" s="29">
        <f>IF(V9&gt;0, V88*(V52/V9), 0)</f>
        <v/>
      </c>
      <c r="W94" s="29">
        <f>IF(W9&gt;0, W88*(W52/W9), 0)</f>
        <v/>
      </c>
      <c r="X94" s="29">
        <f>IF(X9&gt;0, X88*(X52/X9), 0)</f>
        <v/>
      </c>
      <c r="Y94" s="29">
        <f>IF(Y9&gt;0, Y88*(Y52/Y9), 0)</f>
        <v/>
      </c>
      <c r="Z94" s="29">
        <f>IF(Z9&gt;0, Z88*(Z52/Z9), 0)</f>
        <v/>
      </c>
    </row>
    <row r="95">
      <c r="B95" s="5" t="inlineStr">
        <is>
          <t>Return Shipping Cost</t>
        </is>
      </c>
      <c r="C95" s="29">
        <f>C88*Assumptions!C99</f>
        <v/>
      </c>
      <c r="D95" s="29">
        <f>D88*Assumptions!C99</f>
        <v/>
      </c>
      <c r="E95" s="29">
        <f>E88*Assumptions!C99</f>
        <v/>
      </c>
      <c r="F95" s="29">
        <f>F88*Assumptions!C99</f>
        <v/>
      </c>
      <c r="G95" s="29">
        <f>G88*Assumptions!C99</f>
        <v/>
      </c>
      <c r="H95" s="29">
        <f>H88*Assumptions!C99</f>
        <v/>
      </c>
      <c r="I95" s="29">
        <f>I88*Assumptions!C99</f>
        <v/>
      </c>
      <c r="J95" s="29">
        <f>J88*Assumptions!C99</f>
        <v/>
      </c>
      <c r="K95" s="29">
        <f>K88*Assumptions!C99</f>
        <v/>
      </c>
      <c r="L95" s="29">
        <f>L88*Assumptions!C99</f>
        <v/>
      </c>
      <c r="M95" s="29">
        <f>M88*Assumptions!C99</f>
        <v/>
      </c>
      <c r="N95" s="29">
        <f>N88*Assumptions!C99</f>
        <v/>
      </c>
      <c r="O95" s="29">
        <f>O88*Assumptions!C99</f>
        <v/>
      </c>
      <c r="P95" s="29">
        <f>P88*Assumptions!C99</f>
        <v/>
      </c>
      <c r="Q95" s="29">
        <f>Q88*Assumptions!C99</f>
        <v/>
      </c>
      <c r="R95" s="29">
        <f>R88*Assumptions!C99</f>
        <v/>
      </c>
      <c r="S95" s="29">
        <f>S88*Assumptions!C99</f>
        <v/>
      </c>
      <c r="T95" s="29">
        <f>T88*Assumptions!C99</f>
        <v/>
      </c>
      <c r="U95" s="29">
        <f>U88*Assumptions!C99</f>
        <v/>
      </c>
      <c r="V95" s="29">
        <f>V88*Assumptions!C99</f>
        <v/>
      </c>
      <c r="W95" s="29">
        <f>W88*Assumptions!C99</f>
        <v/>
      </c>
      <c r="X95" s="29">
        <f>X88*Assumptions!C99</f>
        <v/>
      </c>
      <c r="Y95" s="29">
        <f>Y88*Assumptions!C99</f>
        <v/>
      </c>
      <c r="Z95" s="29">
        <f>Z88*Assumptions!C99</f>
        <v/>
      </c>
    </row>
    <row r="96">
      <c r="B96" s="5" t="inlineStr">
        <is>
          <t>Return Processing / Handling</t>
        </is>
      </c>
      <c r="C96" s="29">
        <f>C88*Assumptions!C100</f>
        <v/>
      </c>
      <c r="D96" s="29">
        <f>D88*Assumptions!C100</f>
        <v/>
      </c>
      <c r="E96" s="29">
        <f>E88*Assumptions!C100</f>
        <v/>
      </c>
      <c r="F96" s="29">
        <f>F88*Assumptions!C100</f>
        <v/>
      </c>
      <c r="G96" s="29">
        <f>G88*Assumptions!C100</f>
        <v/>
      </c>
      <c r="H96" s="29">
        <f>H88*Assumptions!C100</f>
        <v/>
      </c>
      <c r="I96" s="29">
        <f>I88*Assumptions!C100</f>
        <v/>
      </c>
      <c r="J96" s="29">
        <f>J88*Assumptions!C100</f>
        <v/>
      </c>
      <c r="K96" s="29">
        <f>K88*Assumptions!C100</f>
        <v/>
      </c>
      <c r="L96" s="29">
        <f>L88*Assumptions!C100</f>
        <v/>
      </c>
      <c r="M96" s="29">
        <f>M88*Assumptions!C100</f>
        <v/>
      </c>
      <c r="N96" s="29">
        <f>N88*Assumptions!C100</f>
        <v/>
      </c>
      <c r="O96" s="29">
        <f>O88*Assumptions!C100</f>
        <v/>
      </c>
      <c r="P96" s="29">
        <f>P88*Assumptions!C100</f>
        <v/>
      </c>
      <c r="Q96" s="29">
        <f>Q88*Assumptions!C100</f>
        <v/>
      </c>
      <c r="R96" s="29">
        <f>R88*Assumptions!C100</f>
        <v/>
      </c>
      <c r="S96" s="29">
        <f>S88*Assumptions!C100</f>
        <v/>
      </c>
      <c r="T96" s="29">
        <f>T88*Assumptions!C100</f>
        <v/>
      </c>
      <c r="U96" s="29">
        <f>U88*Assumptions!C100</f>
        <v/>
      </c>
      <c r="V96" s="29">
        <f>V88*Assumptions!C100</f>
        <v/>
      </c>
      <c r="W96" s="29">
        <f>W88*Assumptions!C100</f>
        <v/>
      </c>
      <c r="X96" s="29">
        <f>X88*Assumptions!C100</f>
        <v/>
      </c>
      <c r="Y96" s="29">
        <f>Y88*Assumptions!C100</f>
        <v/>
      </c>
      <c r="Z96" s="29">
        <f>Z88*Assumptions!C100</f>
        <v/>
      </c>
    </row>
    <row r="97">
      <c r="B97" s="5" t="inlineStr">
        <is>
          <t>COGS Lost — Post-Claim Returns (dead stock)</t>
        </is>
      </c>
      <c r="C97" s="29">
        <f>IF(C9&gt;0, C90*(C59/C9), 0)</f>
        <v/>
      </c>
      <c r="D97" s="29">
        <f>IF(D9&gt;0, D90*(D59/D9), 0)</f>
        <v/>
      </c>
      <c r="E97" s="29">
        <f>IF(E9&gt;0, E90*(E59/E9), 0)</f>
        <v/>
      </c>
      <c r="F97" s="29">
        <f>IF(F9&gt;0, F90*(F59/F9), 0)</f>
        <v/>
      </c>
      <c r="G97" s="29">
        <f>IF(G9&gt;0, G90*(G59/G9), 0)</f>
        <v/>
      </c>
      <c r="H97" s="29">
        <f>IF(H9&gt;0, H90*(H59/H9), 0)</f>
        <v/>
      </c>
      <c r="I97" s="29">
        <f>IF(I9&gt;0, I90*(I59/I9), 0)</f>
        <v/>
      </c>
      <c r="J97" s="29">
        <f>IF(J9&gt;0, J90*(J59/J9), 0)</f>
        <v/>
      </c>
      <c r="K97" s="29">
        <f>IF(K9&gt;0, K90*(K59/K9), 0)</f>
        <v/>
      </c>
      <c r="L97" s="29">
        <f>IF(L9&gt;0, L90*(L59/L9), 0)</f>
        <v/>
      </c>
      <c r="M97" s="29">
        <f>IF(M9&gt;0, M90*(M59/M9), 0)</f>
        <v/>
      </c>
      <c r="N97" s="29">
        <f>IF(N9&gt;0, N90*(N59/N9), 0)</f>
        <v/>
      </c>
      <c r="O97" s="29">
        <f>IF(O9&gt;0, O90*(O59/O9), 0)</f>
        <v/>
      </c>
      <c r="P97" s="29">
        <f>IF(P9&gt;0, P90*(P59/P9), 0)</f>
        <v/>
      </c>
      <c r="Q97" s="29">
        <f>IF(Q9&gt;0, Q90*(Q59/Q9), 0)</f>
        <v/>
      </c>
      <c r="R97" s="29">
        <f>IF(R9&gt;0, R90*(R59/R9), 0)</f>
        <v/>
      </c>
      <c r="S97" s="29">
        <f>IF(S9&gt;0, S90*(S59/S9), 0)</f>
        <v/>
      </c>
      <c r="T97" s="29">
        <f>IF(T9&gt;0, T90*(T59/T9), 0)</f>
        <v/>
      </c>
      <c r="U97" s="29">
        <f>IF(U9&gt;0, U90*(U59/U9), 0)</f>
        <v/>
      </c>
      <c r="V97" s="29">
        <f>IF(V9&gt;0, V90*(V59/V9), 0)</f>
        <v/>
      </c>
      <c r="W97" s="29">
        <f>IF(W9&gt;0, W90*(W59/W9), 0)</f>
        <v/>
      </c>
      <c r="X97" s="29">
        <f>IF(X9&gt;0, X90*(X59/X9), 0)</f>
        <v/>
      </c>
      <c r="Y97" s="29">
        <f>IF(Y9&gt;0, Y90*(Y59/Y9), 0)</f>
        <v/>
      </c>
      <c r="Z97" s="29">
        <f>IF(Z9&gt;0, Z90*(Z59/Z9), 0)</f>
        <v/>
      </c>
    </row>
    <row r="98">
      <c r="B98" s="5" t="inlineStr">
        <is>
          <t>COGS Salvaged — Pre-Claim Returns (restocked)</t>
        </is>
      </c>
      <c r="C98" s="29">
        <f>IF(C9&gt;0, -C89*(C59/C9)*Assumptions!C98, 0)</f>
        <v/>
      </c>
      <c r="D98" s="29">
        <f>IF(D9&gt;0, -D89*(D59/D9)*Assumptions!C98, 0)</f>
        <v/>
      </c>
      <c r="E98" s="29">
        <f>IF(E9&gt;0, -E89*(E59/E9)*Assumptions!C98, 0)</f>
        <v/>
      </c>
      <c r="F98" s="29">
        <f>IF(F9&gt;0, -F89*(F59/F9)*Assumptions!C98, 0)</f>
        <v/>
      </c>
      <c r="G98" s="29">
        <f>IF(G9&gt;0, -G89*(G59/G9)*Assumptions!C98, 0)</f>
        <v/>
      </c>
      <c r="H98" s="29">
        <f>IF(H9&gt;0, -H89*(H59/H9)*Assumptions!C98, 0)</f>
        <v/>
      </c>
      <c r="I98" s="29">
        <f>IF(I9&gt;0, -I89*(I59/I9)*Assumptions!C98, 0)</f>
        <v/>
      </c>
      <c r="J98" s="29">
        <f>IF(J9&gt;0, -J89*(J59/J9)*Assumptions!C98, 0)</f>
        <v/>
      </c>
      <c r="K98" s="29">
        <f>IF(K9&gt;0, -K89*(K59/K9)*Assumptions!C98, 0)</f>
        <v/>
      </c>
      <c r="L98" s="29">
        <f>IF(L9&gt;0, -L89*(L59/L9)*Assumptions!C98, 0)</f>
        <v/>
      </c>
      <c r="M98" s="29">
        <f>IF(M9&gt;0, -M89*(M59/M9)*Assumptions!C98, 0)</f>
        <v/>
      </c>
      <c r="N98" s="29">
        <f>IF(N9&gt;0, -N89*(N59/N9)*Assumptions!C98, 0)</f>
        <v/>
      </c>
      <c r="O98" s="29">
        <f>IF(O9&gt;0, -O89*(O59/O9)*Assumptions!C98, 0)</f>
        <v/>
      </c>
      <c r="P98" s="29">
        <f>IF(P9&gt;0, -P89*(P59/P9)*Assumptions!C98, 0)</f>
        <v/>
      </c>
      <c r="Q98" s="29">
        <f>IF(Q9&gt;0, -Q89*(Q59/Q9)*Assumptions!C98, 0)</f>
        <v/>
      </c>
      <c r="R98" s="29">
        <f>IF(R9&gt;0, -R89*(R59/R9)*Assumptions!C98, 0)</f>
        <v/>
      </c>
      <c r="S98" s="29">
        <f>IF(S9&gt;0, -S89*(S59/S9)*Assumptions!C98, 0)</f>
        <v/>
      </c>
      <c r="T98" s="29">
        <f>IF(T9&gt;0, -T89*(T59/T9)*Assumptions!C98, 0)</f>
        <v/>
      </c>
      <c r="U98" s="29">
        <f>IF(U9&gt;0, -U89*(U59/U9)*Assumptions!C98, 0)</f>
        <v/>
      </c>
      <c r="V98" s="29">
        <f>IF(V9&gt;0, -V89*(V59/V9)*Assumptions!C98, 0)</f>
        <v/>
      </c>
      <c r="W98" s="29">
        <f>IF(W9&gt;0, -W89*(W59/W9)*Assumptions!C98, 0)</f>
        <v/>
      </c>
      <c r="X98" s="29">
        <f>IF(X9&gt;0, -X89*(X59/X9)*Assumptions!C98, 0)</f>
        <v/>
      </c>
      <c r="Y98" s="29">
        <f>IF(Y9&gt;0, -Y89*(Y59/Y9)*Assumptions!C98, 0)</f>
        <v/>
      </c>
      <c r="Z98" s="29">
        <f>IF(Z9&gt;0, -Z89*(Z59/Z9)*Assumptions!C98, 0)</f>
        <v/>
      </c>
    </row>
    <row r="99">
      <c r="B99" s="5" t="inlineStr">
        <is>
          <t>Replacement COGS (defect units x COGS)</t>
        </is>
      </c>
      <c r="C99" s="29">
        <f>IF(C9&gt;0, C91*(C59/C9)*Assumptions!C103, 0)</f>
        <v/>
      </c>
      <c r="D99" s="29">
        <f>IF(D9&gt;0, D91*(D59/D9)*Assumptions!C103, 0)</f>
        <v/>
      </c>
      <c r="E99" s="29">
        <f>IF(E9&gt;0, E91*(E59/E9)*Assumptions!C103, 0)</f>
        <v/>
      </c>
      <c r="F99" s="29">
        <f>IF(F9&gt;0, F91*(F59/F9)*Assumptions!C103, 0)</f>
        <v/>
      </c>
      <c r="G99" s="29">
        <f>IF(G9&gt;0, G91*(G59/G9)*Assumptions!C103, 0)</f>
        <v/>
      </c>
      <c r="H99" s="29">
        <f>IF(H9&gt;0, H91*(H59/H9)*Assumptions!C103, 0)</f>
        <v/>
      </c>
      <c r="I99" s="29">
        <f>IF(I9&gt;0, I91*(I59/I9)*Assumptions!C103, 0)</f>
        <v/>
      </c>
      <c r="J99" s="29">
        <f>IF(J9&gt;0, J91*(J59/J9)*Assumptions!C103, 0)</f>
        <v/>
      </c>
      <c r="K99" s="29">
        <f>IF(K9&gt;0, K91*(K59/K9)*Assumptions!C103, 0)</f>
        <v/>
      </c>
      <c r="L99" s="29">
        <f>IF(L9&gt;0, L91*(L59/L9)*Assumptions!C103, 0)</f>
        <v/>
      </c>
      <c r="M99" s="29">
        <f>IF(M9&gt;0, M91*(M59/M9)*Assumptions!C103, 0)</f>
        <v/>
      </c>
      <c r="N99" s="29">
        <f>IF(N9&gt;0, N91*(N59/N9)*Assumptions!C103, 0)</f>
        <v/>
      </c>
      <c r="O99" s="29">
        <f>IF(O9&gt;0, O91*(O59/O9)*Assumptions!C103, 0)</f>
        <v/>
      </c>
      <c r="P99" s="29">
        <f>IF(P9&gt;0, P91*(P59/P9)*Assumptions!C103, 0)</f>
        <v/>
      </c>
      <c r="Q99" s="29">
        <f>IF(Q9&gt;0, Q91*(Q59/Q9)*Assumptions!C103, 0)</f>
        <v/>
      </c>
      <c r="R99" s="29">
        <f>IF(R9&gt;0, R91*(R59/R9)*Assumptions!C103, 0)</f>
        <v/>
      </c>
      <c r="S99" s="29">
        <f>IF(S9&gt;0, S91*(S59/S9)*Assumptions!C103, 0)</f>
        <v/>
      </c>
      <c r="T99" s="29">
        <f>IF(T9&gt;0, T91*(T59/T9)*Assumptions!C103, 0)</f>
        <v/>
      </c>
      <c r="U99" s="29">
        <f>IF(U9&gt;0, U91*(U59/U9)*Assumptions!C103, 0)</f>
        <v/>
      </c>
      <c r="V99" s="29">
        <f>IF(V9&gt;0, V91*(V59/V9)*Assumptions!C103, 0)</f>
        <v/>
      </c>
      <c r="W99" s="29">
        <f>IF(W9&gt;0, W91*(W59/W9)*Assumptions!C103, 0)</f>
        <v/>
      </c>
      <c r="X99" s="29">
        <f>IF(X9&gt;0, X91*(X59/X9)*Assumptions!C103, 0)</f>
        <v/>
      </c>
      <c r="Y99" s="29">
        <f>IF(Y9&gt;0, Y91*(Y59/Y9)*Assumptions!C103, 0)</f>
        <v/>
      </c>
      <c r="Z99" s="29">
        <f>IF(Z9&gt;0, Z91*(Z59/Z9)*Assumptions!C103, 0)</f>
        <v/>
      </c>
    </row>
    <row r="100">
      <c r="B100" s="5" t="inlineStr">
        <is>
          <t>Replacement Shipping</t>
        </is>
      </c>
      <c r="C100" s="29">
        <f>C91*Assumptions!C102</f>
        <v/>
      </c>
      <c r="D100" s="29">
        <f>D91*Assumptions!C102</f>
        <v/>
      </c>
      <c r="E100" s="29">
        <f>E91*Assumptions!C102</f>
        <v/>
      </c>
      <c r="F100" s="29">
        <f>F91*Assumptions!C102</f>
        <v/>
      </c>
      <c r="G100" s="29">
        <f>G91*Assumptions!C102</f>
        <v/>
      </c>
      <c r="H100" s="29">
        <f>H91*Assumptions!C102</f>
        <v/>
      </c>
      <c r="I100" s="29">
        <f>I91*Assumptions!C102</f>
        <v/>
      </c>
      <c r="J100" s="29">
        <f>J91*Assumptions!C102</f>
        <v/>
      </c>
      <c r="K100" s="29">
        <f>K91*Assumptions!C102</f>
        <v/>
      </c>
      <c r="L100" s="29">
        <f>L91*Assumptions!C102</f>
        <v/>
      </c>
      <c r="M100" s="29">
        <f>M91*Assumptions!C102</f>
        <v/>
      </c>
      <c r="N100" s="29">
        <f>N91*Assumptions!C102</f>
        <v/>
      </c>
      <c r="O100" s="29">
        <f>O91*Assumptions!C102</f>
        <v/>
      </c>
      <c r="P100" s="29">
        <f>P91*Assumptions!C102</f>
        <v/>
      </c>
      <c r="Q100" s="29">
        <f>Q91*Assumptions!C102</f>
        <v/>
      </c>
      <c r="R100" s="29">
        <f>R91*Assumptions!C102</f>
        <v/>
      </c>
      <c r="S100" s="29">
        <f>S91*Assumptions!C102</f>
        <v/>
      </c>
      <c r="T100" s="29">
        <f>T91*Assumptions!C102</f>
        <v/>
      </c>
      <c r="U100" s="29">
        <f>U91*Assumptions!C102</f>
        <v/>
      </c>
      <c r="V100" s="29">
        <f>V91*Assumptions!C102</f>
        <v/>
      </c>
      <c r="W100" s="29">
        <f>W91*Assumptions!C102</f>
        <v/>
      </c>
      <c r="X100" s="29">
        <f>X91*Assumptions!C102</f>
        <v/>
      </c>
      <c r="Y100" s="29">
        <f>Y91*Assumptions!C102</f>
        <v/>
      </c>
      <c r="Z100" s="29">
        <f>Z91*Assumptions!C102</f>
        <v/>
      </c>
    </row>
    <row r="101">
      <c r="B101" s="27" t="inlineStr">
        <is>
          <t>TOTAL RETURNS &amp; REPLACEMENT IMPACT</t>
        </is>
      </c>
      <c r="C101" s="32">
        <f>C94+C95+C96+C97+C98+C99+C100</f>
        <v/>
      </c>
      <c r="D101" s="32">
        <f>D94+D95+D96+D97+D98+D99+D100</f>
        <v/>
      </c>
      <c r="E101" s="32">
        <f>E94+E95+E96+E97+E98+E99+E100</f>
        <v/>
      </c>
      <c r="F101" s="32">
        <f>F94+F95+F96+F97+F98+F99+F100</f>
        <v/>
      </c>
      <c r="G101" s="32">
        <f>G94+G95+G96+G97+G98+G99+G100</f>
        <v/>
      </c>
      <c r="H101" s="32">
        <f>H94+H95+H96+H97+H98+H99+H100</f>
        <v/>
      </c>
      <c r="I101" s="32">
        <f>I94+I95+I96+I97+I98+I99+I100</f>
        <v/>
      </c>
      <c r="J101" s="32">
        <f>J94+J95+J96+J97+J98+J99+J100</f>
        <v/>
      </c>
      <c r="K101" s="32">
        <f>K94+K95+K96+K97+K98+K99+K100</f>
        <v/>
      </c>
      <c r="L101" s="32">
        <f>L94+L95+L96+L97+L98+L99+L100</f>
        <v/>
      </c>
      <c r="M101" s="32">
        <f>M94+M95+M96+M97+M98+M99+M100</f>
        <v/>
      </c>
      <c r="N101" s="32">
        <f>N94+N95+N96+N97+N98+N99+N100</f>
        <v/>
      </c>
      <c r="O101" s="32">
        <f>O94+O95+O96+O97+O98+O99+O100</f>
        <v/>
      </c>
      <c r="P101" s="32">
        <f>P94+P95+P96+P97+P98+P99+P100</f>
        <v/>
      </c>
      <c r="Q101" s="32">
        <f>Q94+Q95+Q96+Q97+Q98+Q99+Q100</f>
        <v/>
      </c>
      <c r="R101" s="32">
        <f>R94+R95+R96+R97+R98+R99+R100</f>
        <v/>
      </c>
      <c r="S101" s="32">
        <f>S94+S95+S96+S97+S98+S99+S100</f>
        <v/>
      </c>
      <c r="T101" s="32">
        <f>T94+T95+T96+T97+T98+T99+T100</f>
        <v/>
      </c>
      <c r="U101" s="32">
        <f>U94+U95+U96+U97+U98+U99+U100</f>
        <v/>
      </c>
      <c r="V101" s="32">
        <f>V94+V95+V96+V97+V98+V99+V100</f>
        <v/>
      </c>
      <c r="W101" s="32">
        <f>W94+W95+W96+W97+W98+W99+W100</f>
        <v/>
      </c>
      <c r="X101" s="32">
        <f>X94+X95+X96+X97+X98+X99+X100</f>
        <v/>
      </c>
      <c r="Y101" s="32">
        <f>Y94+Y95+Y96+Y97+Y98+Y99+Y100</f>
        <v/>
      </c>
      <c r="Z101" s="32">
        <f>Z94+Z95+Z96+Z97+Z98+Z99+Z100</f>
        <v/>
      </c>
    </row>
    <row r="103">
      <c r="B103" s="3" t="inlineStr">
        <is>
          <t>ADJUSTED P&amp;L (After Returns &amp; Replacements)</t>
        </is>
      </c>
    </row>
    <row r="104">
      <c r="B104" s="30" t="inlineStr">
        <is>
          <t>Net Revenue (gross - refunds)</t>
        </is>
      </c>
      <c r="C104" s="31">
        <f>C52-C94</f>
        <v/>
      </c>
      <c r="D104" s="31">
        <f>D52-D94</f>
        <v/>
      </c>
      <c r="E104" s="31">
        <f>E52-E94</f>
        <v/>
      </c>
      <c r="F104" s="31">
        <f>F52-F94</f>
        <v/>
      </c>
      <c r="G104" s="31">
        <f>G52-G94</f>
        <v/>
      </c>
      <c r="H104" s="31">
        <f>H52-H94</f>
        <v/>
      </c>
      <c r="I104" s="31">
        <f>I52-I94</f>
        <v/>
      </c>
      <c r="J104" s="31">
        <f>J52-J94</f>
        <v/>
      </c>
      <c r="K104" s="31">
        <f>K52-K94</f>
        <v/>
      </c>
      <c r="L104" s="31">
        <f>L52-L94</f>
        <v/>
      </c>
      <c r="M104" s="31">
        <f>M52-M94</f>
        <v/>
      </c>
      <c r="N104" s="31">
        <f>N52-N94</f>
        <v/>
      </c>
      <c r="O104" s="31">
        <f>O52-O94</f>
        <v/>
      </c>
      <c r="P104" s="31">
        <f>P52-P94</f>
        <v/>
      </c>
      <c r="Q104" s="31">
        <f>Q52-Q94</f>
        <v/>
      </c>
      <c r="R104" s="31">
        <f>R52-R94</f>
        <v/>
      </c>
      <c r="S104" s="31">
        <f>S52-S94</f>
        <v/>
      </c>
      <c r="T104" s="31">
        <f>T52-T94</f>
        <v/>
      </c>
      <c r="U104" s="31">
        <f>U52-U94</f>
        <v/>
      </c>
      <c r="V104" s="31">
        <f>V52-V94</f>
        <v/>
      </c>
      <c r="W104" s="31">
        <f>W52-W94</f>
        <v/>
      </c>
      <c r="X104" s="31">
        <f>X52-X94</f>
        <v/>
      </c>
      <c r="Y104" s="31">
        <f>Y52-Y94</f>
        <v/>
      </c>
      <c r="Z104" s="31">
        <f>Z52-Z94</f>
        <v/>
      </c>
    </row>
    <row r="105">
      <c r="B105" s="27" t="inlineStr">
        <is>
          <t>Adjusted COGS (incl. dead stock + replacements)</t>
        </is>
      </c>
      <c r="C105" s="32">
        <f>C59+C97+C98+C99</f>
        <v/>
      </c>
      <c r="D105" s="32">
        <f>D59+D97+D98+D99</f>
        <v/>
      </c>
      <c r="E105" s="32">
        <f>E59+E97+E98+E99</f>
        <v/>
      </c>
      <c r="F105" s="32">
        <f>F59+F97+F98+F99</f>
        <v/>
      </c>
      <c r="G105" s="32">
        <f>G59+G97+G98+G99</f>
        <v/>
      </c>
      <c r="H105" s="32">
        <f>H59+H97+H98+H99</f>
        <v/>
      </c>
      <c r="I105" s="32">
        <f>I59+I97+I98+I99</f>
        <v/>
      </c>
      <c r="J105" s="32">
        <f>J59+J97+J98+J99</f>
        <v/>
      </c>
      <c r="K105" s="32">
        <f>K59+K97+K98+K99</f>
        <v/>
      </c>
      <c r="L105" s="32">
        <f>L59+L97+L98+L99</f>
        <v/>
      </c>
      <c r="M105" s="32">
        <f>M59+M97+M98+M99</f>
        <v/>
      </c>
      <c r="N105" s="32">
        <f>N59+N97+N98+N99</f>
        <v/>
      </c>
      <c r="O105" s="32">
        <f>O59+O97+O98+O99</f>
        <v/>
      </c>
      <c r="P105" s="32">
        <f>P59+P97+P98+P99</f>
        <v/>
      </c>
      <c r="Q105" s="32">
        <f>Q59+Q97+Q98+Q99</f>
        <v/>
      </c>
      <c r="R105" s="32">
        <f>R59+R97+R98+R99</f>
        <v/>
      </c>
      <c r="S105" s="32">
        <f>S59+S97+S98+S99</f>
        <v/>
      </c>
      <c r="T105" s="32">
        <f>T59+T97+T98+T99</f>
        <v/>
      </c>
      <c r="U105" s="32">
        <f>U59+U97+U98+U99</f>
        <v/>
      </c>
      <c r="V105" s="32">
        <f>V59+V97+V98+V99</f>
        <v/>
      </c>
      <c r="W105" s="32">
        <f>W59+W97+W98+W99</f>
        <v/>
      </c>
      <c r="X105" s="32">
        <f>X59+X97+X98+X99</f>
        <v/>
      </c>
      <c r="Y105" s="32">
        <f>Y59+Y97+Y98+Y99</f>
        <v/>
      </c>
      <c r="Z105" s="32">
        <f>Z59+Z97+Z98+Z99</f>
        <v/>
      </c>
    </row>
    <row r="106">
      <c r="B106" s="5" t="inlineStr">
        <is>
          <t>Return &amp; Replacement Overhead (shipping + processing)</t>
        </is>
      </c>
      <c r="C106" s="29">
        <f>C95+C96+C100</f>
        <v/>
      </c>
      <c r="D106" s="29">
        <f>D95+D96+D100</f>
        <v/>
      </c>
      <c r="E106" s="29">
        <f>E95+E96+E100</f>
        <v/>
      </c>
      <c r="F106" s="29">
        <f>F95+F96+F100</f>
        <v/>
      </c>
      <c r="G106" s="29">
        <f>G95+G96+G100</f>
        <v/>
      </c>
      <c r="H106" s="29">
        <f>H95+H96+H100</f>
        <v/>
      </c>
      <c r="I106" s="29">
        <f>I95+I96+I100</f>
        <v/>
      </c>
      <c r="J106" s="29">
        <f>J95+J96+J100</f>
        <v/>
      </c>
      <c r="K106" s="29">
        <f>K95+K96+K100</f>
        <v/>
      </c>
      <c r="L106" s="29">
        <f>L95+L96+L100</f>
        <v/>
      </c>
      <c r="M106" s="29">
        <f>M95+M96+M100</f>
        <v/>
      </c>
      <c r="N106" s="29">
        <f>N95+N96+N100</f>
        <v/>
      </c>
      <c r="O106" s="29">
        <f>O95+O96+O100</f>
        <v/>
      </c>
      <c r="P106" s="29">
        <f>P95+P96+P100</f>
        <v/>
      </c>
      <c r="Q106" s="29">
        <f>Q95+Q96+Q100</f>
        <v/>
      </c>
      <c r="R106" s="29">
        <f>R95+R96+R100</f>
        <v/>
      </c>
      <c r="S106" s="29">
        <f>S95+S96+S100</f>
        <v/>
      </c>
      <c r="T106" s="29">
        <f>T95+T96+T100</f>
        <v/>
      </c>
      <c r="U106" s="29">
        <f>U95+U96+U100</f>
        <v/>
      </c>
      <c r="V106" s="29">
        <f>V95+V96+V100</f>
        <v/>
      </c>
      <c r="W106" s="29">
        <f>W95+W96+W100</f>
        <v/>
      </c>
      <c r="X106" s="29">
        <f>X95+X96+X100</f>
        <v/>
      </c>
      <c r="Y106" s="29">
        <f>Y95+Y96+Y100</f>
        <v/>
      </c>
      <c r="Z106" s="29">
        <f>Z95+Z96+Z100</f>
        <v/>
      </c>
    </row>
    <row r="107">
      <c r="B107" s="30" t="inlineStr">
        <is>
          <t>Adjusted Gross Profit</t>
        </is>
      </c>
      <c r="C107" s="31">
        <f>C104-C105-C106</f>
        <v/>
      </c>
      <c r="D107" s="31">
        <f>D104-D105-D106</f>
        <v/>
      </c>
      <c r="E107" s="31">
        <f>E104-E105-E106</f>
        <v/>
      </c>
      <c r="F107" s="31">
        <f>F104-F105-F106</f>
        <v/>
      </c>
      <c r="G107" s="31">
        <f>G104-G105-G106</f>
        <v/>
      </c>
      <c r="H107" s="31">
        <f>H104-H105-H106</f>
        <v/>
      </c>
      <c r="I107" s="31">
        <f>I104-I105-I106</f>
        <v/>
      </c>
      <c r="J107" s="31">
        <f>J104-J105-J106</f>
        <v/>
      </c>
      <c r="K107" s="31">
        <f>K104-K105-K106</f>
        <v/>
      </c>
      <c r="L107" s="31">
        <f>L104-L105-L106</f>
        <v/>
      </c>
      <c r="M107" s="31">
        <f>M104-M105-M106</f>
        <v/>
      </c>
      <c r="N107" s="31">
        <f>N104-N105-N106</f>
        <v/>
      </c>
      <c r="O107" s="31">
        <f>O104-O105-O106</f>
        <v/>
      </c>
      <c r="P107" s="31">
        <f>P104-P105-P106</f>
        <v/>
      </c>
      <c r="Q107" s="31">
        <f>Q104-Q105-Q106</f>
        <v/>
      </c>
      <c r="R107" s="31">
        <f>R104-R105-R106</f>
        <v/>
      </c>
      <c r="S107" s="31">
        <f>S104-S105-S106</f>
        <v/>
      </c>
      <c r="T107" s="31">
        <f>T104-T105-T106</f>
        <v/>
      </c>
      <c r="U107" s="31">
        <f>U104-U105-U106</f>
        <v/>
      </c>
      <c r="V107" s="31">
        <f>V104-V105-V106</f>
        <v/>
      </c>
      <c r="W107" s="31">
        <f>W104-W105-W106</f>
        <v/>
      </c>
      <c r="X107" s="31">
        <f>X104-X105-X106</f>
        <v/>
      </c>
      <c r="Y107" s="31">
        <f>Y104-Y105-Y106</f>
        <v/>
      </c>
      <c r="Z107" s="31">
        <f>Z104-Z105-Z106</f>
        <v/>
      </c>
    </row>
    <row r="108">
      <c r="B108" s="12" t="inlineStr">
        <is>
          <t>Adjusted Gross Margin %</t>
        </is>
      </c>
      <c r="C108" s="13">
        <f>IF(C104&gt;0,C107/C104,0)</f>
        <v/>
      </c>
      <c r="D108" s="13">
        <f>IF(D104&gt;0,D107/D104,0)</f>
        <v/>
      </c>
      <c r="E108" s="13">
        <f>IF(E104&gt;0,E107/E104,0)</f>
        <v/>
      </c>
      <c r="F108" s="13">
        <f>IF(F104&gt;0,F107/F104,0)</f>
        <v/>
      </c>
      <c r="G108" s="13">
        <f>IF(G104&gt;0,G107/G104,0)</f>
        <v/>
      </c>
      <c r="H108" s="13">
        <f>IF(H104&gt;0,H107/H104,0)</f>
        <v/>
      </c>
      <c r="I108" s="13">
        <f>IF(I104&gt;0,I107/I104,0)</f>
        <v/>
      </c>
      <c r="J108" s="13">
        <f>IF(J104&gt;0,J107/J104,0)</f>
        <v/>
      </c>
      <c r="K108" s="13">
        <f>IF(K104&gt;0,K107/K104,0)</f>
        <v/>
      </c>
      <c r="L108" s="13">
        <f>IF(L104&gt;0,L107/L104,0)</f>
        <v/>
      </c>
      <c r="M108" s="13">
        <f>IF(M104&gt;0,M107/M104,0)</f>
        <v/>
      </c>
      <c r="N108" s="13">
        <f>IF(N104&gt;0,N107/N104,0)</f>
        <v/>
      </c>
      <c r="O108" s="13">
        <f>IF(O104&gt;0,O107/O104,0)</f>
        <v/>
      </c>
      <c r="P108" s="13">
        <f>IF(P104&gt;0,P107/P104,0)</f>
        <v/>
      </c>
      <c r="Q108" s="13">
        <f>IF(Q104&gt;0,Q107/Q104,0)</f>
        <v/>
      </c>
      <c r="R108" s="13">
        <f>IF(R104&gt;0,R107/R104,0)</f>
        <v/>
      </c>
      <c r="S108" s="13">
        <f>IF(S104&gt;0,S107/S104,0)</f>
        <v/>
      </c>
      <c r="T108" s="13">
        <f>IF(T104&gt;0,T107/T104,0)</f>
        <v/>
      </c>
      <c r="U108" s="13">
        <f>IF(U104&gt;0,U107/U104,0)</f>
        <v/>
      </c>
      <c r="V108" s="13">
        <f>IF(V104&gt;0,V107/V104,0)</f>
        <v/>
      </c>
      <c r="W108" s="13">
        <f>IF(W104&gt;0,W107/W104,0)</f>
        <v/>
      </c>
      <c r="X108" s="13">
        <f>IF(X104&gt;0,X107/X104,0)</f>
        <v/>
      </c>
      <c r="Y108" s="13">
        <f>IF(Y104&gt;0,Y107/Y104,0)</f>
        <v/>
      </c>
      <c r="Z108" s="13">
        <f>IF(Z104&gt;0,Z107/Z104,0)</f>
        <v/>
      </c>
    </row>
    <row r="109">
      <c r="B109" s="30" t="inlineStr">
        <is>
          <t>Adjusted EBITDA</t>
        </is>
      </c>
      <c r="C109" s="31">
        <f>C107-C70</f>
        <v/>
      </c>
      <c r="D109" s="31">
        <f>D107-D70</f>
        <v/>
      </c>
      <c r="E109" s="31">
        <f>E107-E70</f>
        <v/>
      </c>
      <c r="F109" s="31">
        <f>F107-F70</f>
        <v/>
      </c>
      <c r="G109" s="31">
        <f>G107-G70</f>
        <v/>
      </c>
      <c r="H109" s="31">
        <f>H107-H70</f>
        <v/>
      </c>
      <c r="I109" s="31">
        <f>I107-I70</f>
        <v/>
      </c>
      <c r="J109" s="31">
        <f>J107-J70</f>
        <v/>
      </c>
      <c r="K109" s="31">
        <f>K107-K70</f>
        <v/>
      </c>
      <c r="L109" s="31">
        <f>L107-L70</f>
        <v/>
      </c>
      <c r="M109" s="31">
        <f>M107-M70</f>
        <v/>
      </c>
      <c r="N109" s="31">
        <f>N107-N70</f>
        <v/>
      </c>
      <c r="O109" s="31">
        <f>O107-O70</f>
        <v/>
      </c>
      <c r="P109" s="31">
        <f>P107-P70</f>
        <v/>
      </c>
      <c r="Q109" s="31">
        <f>Q107-Q70</f>
        <v/>
      </c>
      <c r="R109" s="31">
        <f>R107-R70</f>
        <v/>
      </c>
      <c r="S109" s="31">
        <f>S107-S70</f>
        <v/>
      </c>
      <c r="T109" s="31">
        <f>T107-T70</f>
        <v/>
      </c>
      <c r="U109" s="31">
        <f>U107-U70</f>
        <v/>
      </c>
      <c r="V109" s="31">
        <f>V107-V70</f>
        <v/>
      </c>
      <c r="W109" s="31">
        <f>W107-W70</f>
        <v/>
      </c>
      <c r="X109" s="31">
        <f>X107-X70</f>
        <v/>
      </c>
      <c r="Y109" s="31">
        <f>Y107-Y70</f>
        <v/>
      </c>
      <c r="Z109" s="31">
        <f>Z107-Z70</f>
        <v/>
      </c>
    </row>
    <row r="110">
      <c r="B110" s="12" t="inlineStr">
        <is>
          <t>Adjusted EBITDA Margin %</t>
        </is>
      </c>
      <c r="C110" s="13">
        <f>IF(C104&gt;0,C109/C104,0)</f>
        <v/>
      </c>
      <c r="D110" s="13">
        <f>IF(D104&gt;0,D109/D104,0)</f>
        <v/>
      </c>
      <c r="E110" s="13">
        <f>IF(E104&gt;0,E109/E104,0)</f>
        <v/>
      </c>
      <c r="F110" s="13">
        <f>IF(F104&gt;0,F109/F104,0)</f>
        <v/>
      </c>
      <c r="G110" s="13">
        <f>IF(G104&gt;0,G109/G104,0)</f>
        <v/>
      </c>
      <c r="H110" s="13">
        <f>IF(H104&gt;0,H109/H104,0)</f>
        <v/>
      </c>
      <c r="I110" s="13">
        <f>IF(I104&gt;0,I109/I104,0)</f>
        <v/>
      </c>
      <c r="J110" s="13">
        <f>IF(J104&gt;0,J109/J104,0)</f>
        <v/>
      </c>
      <c r="K110" s="13">
        <f>IF(K104&gt;0,K109/K104,0)</f>
        <v/>
      </c>
      <c r="L110" s="13">
        <f>IF(L104&gt;0,L109/L104,0)</f>
        <v/>
      </c>
      <c r="M110" s="13">
        <f>IF(M104&gt;0,M109/M104,0)</f>
        <v/>
      </c>
      <c r="N110" s="13">
        <f>IF(N104&gt;0,N109/N104,0)</f>
        <v/>
      </c>
      <c r="O110" s="13">
        <f>IF(O104&gt;0,O109/O104,0)</f>
        <v/>
      </c>
      <c r="P110" s="13">
        <f>IF(P104&gt;0,P109/P104,0)</f>
        <v/>
      </c>
      <c r="Q110" s="13">
        <f>IF(Q104&gt;0,Q109/Q104,0)</f>
        <v/>
      </c>
      <c r="R110" s="13">
        <f>IF(R104&gt;0,R109/R104,0)</f>
        <v/>
      </c>
      <c r="S110" s="13">
        <f>IF(S104&gt;0,S109/S104,0)</f>
        <v/>
      </c>
      <c r="T110" s="13">
        <f>IF(T104&gt;0,T109/T104,0)</f>
        <v/>
      </c>
      <c r="U110" s="13">
        <f>IF(U104&gt;0,U109/U104,0)</f>
        <v/>
      </c>
      <c r="V110" s="13">
        <f>IF(V104&gt;0,V109/V104,0)</f>
        <v/>
      </c>
      <c r="W110" s="13">
        <f>IF(W104&gt;0,W109/W104,0)</f>
        <v/>
      </c>
      <c r="X110" s="13">
        <f>IF(X104&gt;0,X109/X104,0)</f>
        <v/>
      </c>
      <c r="Y110" s="13">
        <f>IF(Y104&gt;0,Y109/Y104,0)</f>
        <v/>
      </c>
      <c r="Z110" s="13">
        <f>IF(Z104&gt;0,Z109/Z104,0)</f>
        <v/>
      </c>
    </row>
    <row r="111">
      <c r="B111" s="33" t="inlineStr">
        <is>
          <t>Adjusted Net Income</t>
        </is>
      </c>
      <c r="C111" s="34">
        <f>C109-IF(C109&gt;0,C109*Assumptions!C92,0)</f>
        <v/>
      </c>
      <c r="D111" s="34">
        <f>D109-IF(D109&gt;0,D109*Assumptions!C92,0)</f>
        <v/>
      </c>
      <c r="E111" s="34">
        <f>E109-IF(E109&gt;0,E109*Assumptions!C92,0)</f>
        <v/>
      </c>
      <c r="F111" s="34">
        <f>F109-IF(F109&gt;0,F109*Assumptions!C92,0)</f>
        <v/>
      </c>
      <c r="G111" s="34">
        <f>G109-IF(G109&gt;0,G109*Assumptions!C92,0)</f>
        <v/>
      </c>
      <c r="H111" s="34">
        <f>H109-IF(H109&gt;0,H109*Assumptions!C92,0)</f>
        <v/>
      </c>
      <c r="I111" s="34">
        <f>I109-IF(I109&gt;0,I109*Assumptions!C92,0)</f>
        <v/>
      </c>
      <c r="J111" s="34">
        <f>J109-IF(J109&gt;0,J109*Assumptions!C92,0)</f>
        <v/>
      </c>
      <c r="K111" s="34">
        <f>K109-IF(K109&gt;0,K109*Assumptions!C92,0)</f>
        <v/>
      </c>
      <c r="L111" s="34">
        <f>L109-IF(L109&gt;0,L109*Assumptions!C92,0)</f>
        <v/>
      </c>
      <c r="M111" s="34">
        <f>M109-IF(M109&gt;0,M109*Assumptions!C92,0)</f>
        <v/>
      </c>
      <c r="N111" s="34">
        <f>N109-IF(N109&gt;0,N109*Assumptions!C92,0)</f>
        <v/>
      </c>
      <c r="O111" s="34">
        <f>O109-IF(O109&gt;0,O109*Assumptions!C92,0)</f>
        <v/>
      </c>
      <c r="P111" s="34">
        <f>P109-IF(P109&gt;0,P109*Assumptions!C92,0)</f>
        <v/>
      </c>
      <c r="Q111" s="34">
        <f>Q109-IF(Q109&gt;0,Q109*Assumptions!C92,0)</f>
        <v/>
      </c>
      <c r="R111" s="34">
        <f>R109-IF(R109&gt;0,R109*Assumptions!C92,0)</f>
        <v/>
      </c>
      <c r="S111" s="34">
        <f>S109-IF(S109&gt;0,S109*Assumptions!C92,0)</f>
        <v/>
      </c>
      <c r="T111" s="34">
        <f>T109-IF(T109&gt;0,T109*Assumptions!C92,0)</f>
        <v/>
      </c>
      <c r="U111" s="34">
        <f>U109-IF(U109&gt;0,U109*Assumptions!C92,0)</f>
        <v/>
      </c>
      <c r="V111" s="34">
        <f>V109-IF(V109&gt;0,V109*Assumptions!C92,0)</f>
        <v/>
      </c>
      <c r="W111" s="34">
        <f>W109-IF(W109&gt;0,W109*Assumptions!C92,0)</f>
        <v/>
      </c>
      <c r="X111" s="34">
        <f>X109-IF(X109&gt;0,X109*Assumptions!C92,0)</f>
        <v/>
      </c>
      <c r="Y111" s="34">
        <f>Y109-IF(Y109&gt;0,Y109*Assumptions!C92,0)</f>
        <v/>
      </c>
      <c r="Z111" s="34">
        <f>Z109-IF(Z109&gt;0,Z109*Assumptions!C92,0)</f>
        <v/>
      </c>
    </row>
    <row r="112">
      <c r="B112" s="12" t="inlineStr">
        <is>
          <t>Net Active Charms (adjusted for returns)</t>
        </is>
      </c>
      <c r="C112" s="25">
        <f>C11-C90</f>
        <v/>
      </c>
      <c r="D112" s="25">
        <f>C112+(D9*Assumptions!C34)-D90</f>
        <v/>
      </c>
      <c r="E112" s="25">
        <f>D112+(E9*Assumptions!C34)-E90</f>
        <v/>
      </c>
      <c r="F112" s="25">
        <f>E112+(F9*Assumptions!C34)-F90</f>
        <v/>
      </c>
      <c r="G112" s="25">
        <f>F112+(G9*Assumptions!C34)-G90</f>
        <v/>
      </c>
      <c r="H112" s="25">
        <f>G112+(H9*Assumptions!C34)-H90</f>
        <v/>
      </c>
      <c r="I112" s="25">
        <f>H112+(I9*Assumptions!C34)-I90</f>
        <v/>
      </c>
      <c r="J112" s="25">
        <f>I112+(J9*Assumptions!C34)-J90</f>
        <v/>
      </c>
      <c r="K112" s="25">
        <f>J112+(K9*Assumptions!C34)-K90</f>
        <v/>
      </c>
      <c r="L112" s="25">
        <f>K112+(L9*Assumptions!C34)-L90</f>
        <v/>
      </c>
      <c r="M112" s="25">
        <f>L112+(M9*Assumptions!C34)-M90</f>
        <v/>
      </c>
      <c r="N112" s="25">
        <f>M112+(N9*Assumptions!C34)-N90</f>
        <v/>
      </c>
      <c r="O112" s="25">
        <f>N112+(O9*Assumptions!C34)-O90</f>
        <v/>
      </c>
      <c r="P112" s="25">
        <f>O112+(P9*Assumptions!C34)-P90</f>
        <v/>
      </c>
      <c r="Q112" s="25">
        <f>P112+(Q9*Assumptions!C34)-Q90</f>
        <v/>
      </c>
      <c r="R112" s="25">
        <f>Q112+(R9*Assumptions!C34)-R90</f>
        <v/>
      </c>
      <c r="S112" s="25">
        <f>R112+(S9*Assumptions!C34)-S90</f>
        <v/>
      </c>
      <c r="T112" s="25">
        <f>S112+(T9*Assumptions!C34)-T90</f>
        <v/>
      </c>
      <c r="U112" s="25">
        <f>T112+(U9*Assumptions!C34)-U90</f>
        <v/>
      </c>
      <c r="V112" s="25">
        <f>U112+(V9*Assumptions!C34)-V90</f>
        <v/>
      </c>
      <c r="W112" s="25">
        <f>V112+(W9*Assumptions!C34)-W90</f>
        <v/>
      </c>
      <c r="X112" s="25">
        <f>W112+(X9*Assumptions!C34)-X90</f>
        <v/>
      </c>
      <c r="Y112" s="25">
        <f>X112+(Y9*Assumptions!C34)-Y90</f>
        <v/>
      </c>
      <c r="Z112" s="25">
        <f>Y112+(Z9*Assumptions!C34)-Z90</f>
        <v/>
      </c>
    </row>
    <row r="113">
      <c r="B113" s="5" t="inlineStr">
        <is>
          <t>Margin Erosion from Returns (% of gross revenue)</t>
        </is>
      </c>
      <c r="C113" s="38">
        <f>IF(C52&gt;0,C101/C52,0)</f>
        <v/>
      </c>
      <c r="D113" s="38">
        <f>IF(D52&gt;0,D101/D52,0)</f>
        <v/>
      </c>
      <c r="E113" s="38">
        <f>IF(E52&gt;0,E101/E52,0)</f>
        <v/>
      </c>
      <c r="F113" s="38">
        <f>IF(F52&gt;0,F101/F52,0)</f>
        <v/>
      </c>
      <c r="G113" s="38">
        <f>IF(G52&gt;0,G101/G52,0)</f>
        <v/>
      </c>
      <c r="H113" s="38">
        <f>IF(H52&gt;0,H101/H52,0)</f>
        <v/>
      </c>
      <c r="I113" s="38">
        <f>IF(I52&gt;0,I101/I52,0)</f>
        <v/>
      </c>
      <c r="J113" s="38">
        <f>IF(J52&gt;0,J101/J52,0)</f>
        <v/>
      </c>
      <c r="K113" s="38">
        <f>IF(K52&gt;0,K101/K52,0)</f>
        <v/>
      </c>
      <c r="L113" s="38">
        <f>IF(L52&gt;0,L101/L52,0)</f>
        <v/>
      </c>
      <c r="M113" s="38">
        <f>IF(M52&gt;0,M101/M52,0)</f>
        <v/>
      </c>
      <c r="N113" s="38">
        <f>IF(N52&gt;0,N101/N52,0)</f>
        <v/>
      </c>
      <c r="O113" s="38">
        <f>IF(O52&gt;0,O101/O52,0)</f>
        <v/>
      </c>
      <c r="P113" s="38">
        <f>IF(P52&gt;0,P101/P52,0)</f>
        <v/>
      </c>
      <c r="Q113" s="38">
        <f>IF(Q52&gt;0,Q101/Q52,0)</f>
        <v/>
      </c>
      <c r="R113" s="38">
        <f>IF(R52&gt;0,R101/R52,0)</f>
        <v/>
      </c>
      <c r="S113" s="38">
        <f>IF(S52&gt;0,S101/S52,0)</f>
        <v/>
      </c>
      <c r="T113" s="38">
        <f>IF(T52&gt;0,T101/T52,0)</f>
        <v/>
      </c>
      <c r="U113" s="38">
        <f>IF(U52&gt;0,U101/U52,0)</f>
        <v/>
      </c>
      <c r="V113" s="38">
        <f>IF(V52&gt;0,V101/V52,0)</f>
        <v/>
      </c>
      <c r="W113" s="38">
        <f>IF(W52&gt;0,W101/W52,0)</f>
        <v/>
      </c>
      <c r="X113" s="38">
        <f>IF(X52&gt;0,X101/X52,0)</f>
        <v/>
      </c>
      <c r="Y113" s="38">
        <f>IF(Y52&gt;0,Y101/Y52,0)</f>
        <v/>
      </c>
      <c r="Z113" s="38">
        <f>IF(Z52&gt;0,Z101/Z52,0)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961"/>
    <outlinePr summaryBelow="1" summaryRight="1"/>
    <pageSetUpPr/>
  </sheetPr>
  <dimension ref="B1:E48"/>
  <sheetViews>
    <sheetView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MemoryCharm — Annual Summary</t>
        </is>
      </c>
    </row>
    <row r="3">
      <c r="B3" s="4" t="inlineStr"/>
      <c r="C3" s="4" t="inlineStr">
        <is>
          <t>Year 1 (M1-12)</t>
        </is>
      </c>
      <c r="D3" s="4" t="inlineStr">
        <is>
          <t>Year 2 (M13-24)</t>
        </is>
      </c>
      <c r="E3" s="4" t="inlineStr">
        <is>
          <t>Total (24 Mo)</t>
        </is>
      </c>
    </row>
    <row r="5">
      <c r="B5" s="12" t="inlineStr">
        <is>
          <t>Total Charms Sold</t>
        </is>
      </c>
      <c r="C5" s="25">
        <f>SUM('24-Month Projections'!C9:N9)</f>
        <v/>
      </c>
      <c r="D5" s="25">
        <f>SUM('24-Month Projections'!O9:Z9)</f>
        <v/>
      </c>
      <c r="E5" s="25">
        <f>C5+D5</f>
        <v/>
      </c>
    </row>
    <row r="6">
      <c r="B6" s="12" t="inlineStr">
        <is>
          <t>Cumulative Charms (End)</t>
        </is>
      </c>
      <c r="C6" s="25">
        <f>'24-Month Projections'!N10</f>
        <v/>
      </c>
      <c r="D6" s="25">
        <f>'24-Month Projections'!Z10</f>
        <v/>
      </c>
      <c r="E6" s="25">
        <f>D6</f>
        <v/>
      </c>
    </row>
    <row r="7">
      <c r="B7" s="5" t="inlineStr">
        <is>
          <t>Active Charms (End)</t>
        </is>
      </c>
      <c r="C7" s="19">
        <f>'24-Month Projections'!N11</f>
        <v/>
      </c>
      <c r="D7" s="19">
        <f>'24-Month Projections'!Z11</f>
        <v/>
      </c>
      <c r="E7" s="19">
        <f>D7</f>
        <v/>
      </c>
    </row>
    <row r="8">
      <c r="B8" s="5" t="inlineStr">
        <is>
          <t>Total Storage (GB, end of period)</t>
        </is>
      </c>
      <c r="C8" s="24">
        <f>'24-Month Projections'!N15</f>
        <v/>
      </c>
      <c r="D8" s="24">
        <f>'24-Month Projections'!Z15</f>
        <v/>
      </c>
      <c r="E8" s="24">
        <f>D8</f>
        <v/>
      </c>
    </row>
    <row r="10">
      <c r="B10" s="12" t="inlineStr">
        <is>
          <t>Total Revenue</t>
        </is>
      </c>
      <c r="C10" s="35">
        <f>SUM('24-Month Projections'!C52:N52)</f>
        <v/>
      </c>
      <c r="D10" s="35">
        <f>SUM('24-Month Projections'!O52:Z52)</f>
        <v/>
      </c>
      <c r="E10" s="35">
        <f>C10+D10</f>
        <v/>
      </c>
    </row>
    <row r="11">
      <c r="B11" s="5" t="inlineStr">
        <is>
          <t xml:space="preserve">  Charm Revenue</t>
        </is>
      </c>
      <c r="C11" s="29">
        <f>SUM('24-Month Projections'!C46:N46)+SUM('24-Month Projections'!C47:N47)+SUM('24-Month Projections'!C48:N48)</f>
        <v/>
      </c>
      <c r="D11" s="29">
        <f>SUM('24-Month Projections'!O46:Z46)+SUM('24-Month Projections'!O47:Z47)+SUM('24-Month Projections'!O48:Z48)</f>
        <v/>
      </c>
      <c r="E11" s="29">
        <f>C11+D11</f>
        <v/>
      </c>
    </row>
    <row r="12">
      <c r="B12" s="5" t="inlineStr">
        <is>
          <t xml:space="preserve">  Upsell Revenue</t>
        </is>
      </c>
      <c r="C12" s="29">
        <f>SUM('24-Month Projections'!C49:N49)+SUM('24-Month Projections'!C50:N50)+SUM('24-Month Projections'!C51:N51)</f>
        <v/>
      </c>
      <c r="D12" s="29">
        <f>SUM('24-Month Projections'!O49:Z49)+SUM('24-Month Projections'!O50:Z50)+SUM('24-Month Projections'!O51:Z51)</f>
        <v/>
      </c>
      <c r="E12" s="29">
        <f>C12+D12</f>
        <v/>
      </c>
    </row>
    <row r="14">
      <c r="B14" s="27" t="inlineStr">
        <is>
          <t>Total COGS</t>
        </is>
      </c>
      <c r="C14" s="32">
        <f>SUM('24-Month Projections'!C59:N59)</f>
        <v/>
      </c>
      <c r="D14" s="32">
        <f>SUM('24-Month Projections'!O59:Z59)</f>
        <v/>
      </c>
      <c r="E14" s="32">
        <f>C14+D14</f>
        <v/>
      </c>
    </row>
    <row r="15">
      <c r="B15" s="30" t="inlineStr">
        <is>
          <t>Gross Profit</t>
        </is>
      </c>
      <c r="C15" s="31">
        <f>SUM('24-Month Projections'!C60:N60)</f>
        <v/>
      </c>
      <c r="D15" s="31">
        <f>SUM('24-Month Projections'!O60:Z60)</f>
        <v/>
      </c>
      <c r="E15" s="31">
        <f>C15+D15</f>
        <v/>
      </c>
    </row>
    <row r="16">
      <c r="B16" s="12" t="inlineStr">
        <is>
          <t>Gross Margin %</t>
        </is>
      </c>
      <c r="C16" s="13">
        <f>IF(C10&gt;0,C15/C10,0)</f>
        <v/>
      </c>
      <c r="D16" s="13">
        <f>IF(D10&gt;0,D15/D10,0)</f>
        <v/>
      </c>
      <c r="E16" s="13">
        <f>IF(E10&gt;0,E15/E10,0)</f>
        <v/>
      </c>
    </row>
    <row r="18">
      <c r="B18" s="27" t="inlineStr">
        <is>
          <t>Total Operating Expenses</t>
        </is>
      </c>
      <c r="C18" s="32">
        <f>SUM('24-Month Projections'!C70:N70)</f>
        <v/>
      </c>
      <c r="D18" s="32">
        <f>SUM('24-Month Projections'!O70:Z70)</f>
        <v/>
      </c>
      <c r="E18" s="32">
        <f>C18+D18</f>
        <v/>
      </c>
    </row>
    <row r="19">
      <c r="B19" s="5" t="inlineStr">
        <is>
          <t xml:space="preserve">  Infrastructure</t>
        </is>
      </c>
      <c r="C19" s="29">
        <f>SUM('24-Month Projections'!C43:N43)</f>
        <v/>
      </c>
      <c r="D19" s="29">
        <f>SUM('24-Month Projections'!O43:Z43)</f>
        <v/>
      </c>
      <c r="E19" s="29">
        <f>C19+D19</f>
        <v/>
      </c>
    </row>
    <row r="20">
      <c r="B20" s="5" t="inlineStr">
        <is>
          <t xml:space="preserve">    Azure Blob Storage</t>
        </is>
      </c>
      <c r="C20" s="29">
        <f>SUM('24-Month Projections'!C35:N35)</f>
        <v/>
      </c>
      <c r="D20" s="29">
        <f>SUM('24-Month Projections'!O35:Z35)</f>
        <v/>
      </c>
      <c r="E20" s="29">
        <f>C20+D20</f>
        <v/>
      </c>
    </row>
    <row r="21">
      <c r="B21" s="5" t="inlineStr">
        <is>
          <t xml:space="preserve">    Cloudflare R2</t>
        </is>
      </c>
      <c r="C21" s="29">
        <f>SUM('24-Month Projections'!C39:N39)</f>
        <v/>
      </c>
      <c r="D21" s="29">
        <f>SUM('24-Month Projections'!O39:Z39)</f>
        <v/>
      </c>
      <c r="E21" s="29">
        <f>C21+D21</f>
        <v/>
      </c>
    </row>
    <row r="22">
      <c r="B22" s="5" t="inlineStr">
        <is>
          <t xml:space="preserve">    Azure Table Storage</t>
        </is>
      </c>
      <c r="C22" s="29">
        <f>SUM('24-Month Projections'!C40:N40)</f>
        <v/>
      </c>
      <c r="D22" s="29">
        <f>SUM('24-Month Projections'!O40:Z40)</f>
        <v/>
      </c>
      <c r="E22" s="29">
        <f>C22+D22</f>
        <v/>
      </c>
    </row>
    <row r="23">
      <c r="B23" s="5" t="inlineStr">
        <is>
          <t xml:space="preserve">    Azure Functions</t>
        </is>
      </c>
      <c r="C23" s="29">
        <f>SUM('24-Month Projections'!C41:N41)</f>
        <v/>
      </c>
      <c r="D23" s="29">
        <f>SUM('24-Month Projections'!O41:Z41)</f>
        <v/>
      </c>
      <c r="E23" s="29">
        <f>C23+D23</f>
        <v/>
      </c>
    </row>
    <row r="24">
      <c r="B24" s="5" t="inlineStr">
        <is>
          <t xml:space="preserve">    Other Platform</t>
        </is>
      </c>
      <c r="C24" s="29">
        <f>SUM('24-Month Projections'!C42:N42)</f>
        <v/>
      </c>
      <c r="D24" s="29">
        <f>SUM('24-Month Projections'!O42:Z42)</f>
        <v/>
      </c>
      <c r="E24" s="29">
        <f>C24+D24</f>
        <v/>
      </c>
    </row>
    <row r="25">
      <c r="B25" s="5" t="inlineStr">
        <is>
          <t xml:space="preserve">  Marketing</t>
        </is>
      </c>
      <c r="C25" s="29">
        <f>SUM('24-Month Projections'!C65:N65)</f>
        <v/>
      </c>
      <c r="D25" s="29">
        <f>SUM('24-Month Projections'!O65:Z65)</f>
        <v/>
      </c>
      <c r="E25" s="29">
        <f>C25+D25</f>
        <v/>
      </c>
    </row>
    <row r="26">
      <c r="B26" s="5" t="inlineStr">
        <is>
          <t xml:space="preserve">  Shipping</t>
        </is>
      </c>
      <c r="C26" s="29">
        <f>SUM('24-Month Projections'!C66:N66)</f>
        <v/>
      </c>
      <c r="D26" s="29">
        <f>SUM('24-Month Projections'!O66:Z66)</f>
        <v/>
      </c>
      <c r="E26" s="29">
        <f>C26+D26</f>
        <v/>
      </c>
    </row>
    <row r="27">
      <c r="B27" s="5" t="inlineStr">
        <is>
          <t xml:space="preserve">  Payment Processing</t>
        </is>
      </c>
      <c r="C27" s="29">
        <f>SUM('24-Month Projections'!C67:N67)</f>
        <v/>
      </c>
      <c r="D27" s="29">
        <f>SUM('24-Month Projections'!O67:Z67)</f>
        <v/>
      </c>
      <c r="E27" s="29">
        <f>C27+D27</f>
        <v/>
      </c>
    </row>
    <row r="28">
      <c r="B28" s="5" t="inlineStr">
        <is>
          <t xml:space="preserve">  Support + Legal</t>
        </is>
      </c>
      <c r="C28" s="29">
        <f>SUM('24-Month Projections'!C68:N68)+SUM('24-Month Projections'!C69:N69)</f>
        <v/>
      </c>
      <c r="D28" s="29">
        <f>SUM('24-Month Projections'!O68:Z68)+SUM('24-Month Projections'!O69:Z69)</f>
        <v/>
      </c>
      <c r="E28" s="29">
        <f>C28+D28</f>
        <v/>
      </c>
    </row>
    <row r="30">
      <c r="B30" s="30" t="inlineStr">
        <is>
          <t>EBITDA</t>
        </is>
      </c>
      <c r="C30" s="31">
        <f>SUM('24-Month Projections'!C73:N73)</f>
        <v/>
      </c>
      <c r="D30" s="31">
        <f>SUM('24-Month Projections'!O73:Z73)</f>
        <v/>
      </c>
      <c r="E30" s="31">
        <f>C30+D30</f>
        <v/>
      </c>
    </row>
    <row r="31">
      <c r="B31" s="12" t="inlineStr">
        <is>
          <t>EBITDA Margin %</t>
        </is>
      </c>
      <c r="C31" s="13">
        <f>IF(C10&gt;0,C30/C10,0)</f>
        <v/>
      </c>
      <c r="D31" s="13">
        <f>IF(D10&gt;0,D30/D10,0)</f>
        <v/>
      </c>
      <c r="E31" s="13">
        <f>IF(E10&gt;0,E30/E10,0)</f>
        <v/>
      </c>
    </row>
    <row r="32">
      <c r="B32" s="5" t="inlineStr">
        <is>
          <t>Tax</t>
        </is>
      </c>
      <c r="C32" s="29">
        <f>SUM('24-Month Projections'!C75:N75)</f>
        <v/>
      </c>
      <c r="D32" s="29">
        <f>SUM('24-Month Projections'!O75:Z75)</f>
        <v/>
      </c>
      <c r="E32" s="29">
        <f>C32+D32</f>
        <v/>
      </c>
    </row>
    <row r="33">
      <c r="B33" s="33" t="inlineStr">
        <is>
          <t>NET INCOME</t>
        </is>
      </c>
      <c r="C33" s="34">
        <f>SUM('24-Month Projections'!C76:N76)</f>
        <v/>
      </c>
      <c r="D33" s="34">
        <f>SUM('24-Month Projections'!O76:Z76)</f>
        <v/>
      </c>
      <c r="E33" s="34">
        <f>C33+D33</f>
        <v/>
      </c>
    </row>
    <row r="35">
      <c r="B35" s="12" t="inlineStr">
        <is>
          <t>RETURNS &amp; REPLACEMENTS</t>
        </is>
      </c>
    </row>
    <row r="36">
      <c r="B36" s="5" t="inlineStr">
        <is>
          <t xml:space="preserve">  Returned Units</t>
        </is>
      </c>
      <c r="C36" s="19">
        <f>SUM('24-Month Projections'!C88:N88)</f>
        <v/>
      </c>
      <c r="D36" s="19">
        <f>SUM('24-Month Projections'!O88:Z88)</f>
        <v/>
      </c>
      <c r="E36" s="19">
        <f>C36+D36</f>
        <v/>
      </c>
    </row>
    <row r="37">
      <c r="B37" s="5" t="inlineStr">
        <is>
          <t xml:space="preserve">  Replacement Units</t>
        </is>
      </c>
      <c r="C37" s="19">
        <f>SUM('24-Month Projections'!C91:N91)</f>
        <v/>
      </c>
      <c r="D37" s="19">
        <f>SUM('24-Month Projections'!O91:Z91)</f>
        <v/>
      </c>
      <c r="E37" s="19">
        <f>C37+D37</f>
        <v/>
      </c>
    </row>
    <row r="38">
      <c r="B38" s="27" t="inlineStr">
        <is>
          <t xml:space="preserve">  Total Return &amp; Replacement Cost</t>
        </is>
      </c>
      <c r="C38" s="32">
        <f>SUM('24-Month Projections'!C101:N101)</f>
        <v/>
      </c>
      <c r="D38" s="32">
        <f>SUM('24-Month Projections'!O101:Z101)</f>
        <v/>
      </c>
      <c r="E38" s="32">
        <f>C38+D38</f>
        <v/>
      </c>
    </row>
    <row r="39">
      <c r="B39" s="5" t="inlineStr">
        <is>
          <t xml:space="preserve">  Margin Erosion %</t>
        </is>
      </c>
      <c r="C39" s="38">
        <f>IF(C10&gt;0,C38/C10,0)</f>
        <v/>
      </c>
      <c r="D39" s="38">
        <f>IF(D10&gt;0,D38/D10,0)</f>
        <v/>
      </c>
      <c r="E39" s="38">
        <f>IF(E10&gt;0,E38/E10,0)</f>
        <v/>
      </c>
    </row>
    <row r="41">
      <c r="B41" s="12" t="inlineStr">
        <is>
          <t>ADJUSTED P&amp;L (After Returns)</t>
        </is>
      </c>
    </row>
    <row r="42">
      <c r="B42" s="12" t="inlineStr">
        <is>
          <t xml:space="preserve">  Net Revenue</t>
        </is>
      </c>
      <c r="C42" s="35">
        <f>SUM('24-Month Projections'!C104:N104)</f>
        <v/>
      </c>
      <c r="D42" s="35">
        <f>SUM('24-Month Projections'!O104:Z104)</f>
        <v/>
      </c>
      <c r="E42" s="35">
        <f>C42+D42</f>
        <v/>
      </c>
    </row>
    <row r="43">
      <c r="B43" s="39" t="inlineStr">
        <is>
          <t xml:space="preserve">  Adjusted COGS</t>
        </is>
      </c>
      <c r="C43" s="40">
        <f>SUM('24-Month Projections'!C105:N105)</f>
        <v/>
      </c>
      <c r="D43" s="40">
        <f>SUM('24-Month Projections'!O105:Z105)</f>
        <v/>
      </c>
      <c r="E43" s="40">
        <f>C43+D43</f>
        <v/>
      </c>
    </row>
    <row r="44">
      <c r="B44" s="30" t="inlineStr">
        <is>
          <t xml:space="preserve">  Adjusted Gross Profit</t>
        </is>
      </c>
      <c r="C44" s="31">
        <f>SUM('24-Month Projections'!C107:N107)</f>
        <v/>
      </c>
      <c r="D44" s="31">
        <f>SUM('24-Month Projections'!O107:Z107)</f>
        <v/>
      </c>
      <c r="E44" s="31">
        <f>C44+D44</f>
        <v/>
      </c>
    </row>
    <row r="45">
      <c r="B45" s="12" t="inlineStr">
        <is>
          <t xml:space="preserve">  Adjusted Gross Margin %</t>
        </is>
      </c>
      <c r="C45" s="13">
        <f>IF(C42&gt;0,C44/C42,0)</f>
        <v/>
      </c>
      <c r="D45" s="13">
        <f>IF(D42&gt;0,D44/D42,0)</f>
        <v/>
      </c>
      <c r="E45" s="13">
        <f>IF(E42&gt;0,E44/E42,0)</f>
        <v/>
      </c>
    </row>
    <row r="46">
      <c r="B46" s="30" t="inlineStr">
        <is>
          <t xml:space="preserve">  Adjusted EBITDA</t>
        </is>
      </c>
      <c r="C46" s="31">
        <f>SUM('24-Month Projections'!C109:N109)</f>
        <v/>
      </c>
      <c r="D46" s="31">
        <f>SUM('24-Month Projections'!O109:Z109)</f>
        <v/>
      </c>
      <c r="E46" s="31">
        <f>C46+D46</f>
        <v/>
      </c>
    </row>
    <row r="47">
      <c r="B47" s="12" t="inlineStr">
        <is>
          <t xml:space="preserve">  Adjusted EBITDA Margin %</t>
        </is>
      </c>
      <c r="C47" s="13">
        <f>IF(C42&gt;0,C46/C42,0)</f>
        <v/>
      </c>
      <c r="D47" s="13">
        <f>IF(D42&gt;0,D46/D42,0)</f>
        <v/>
      </c>
      <c r="E47" s="13">
        <f>IF(E42&gt;0,E46/E42,0)</f>
        <v/>
      </c>
    </row>
    <row r="48">
      <c r="B48" s="30" t="inlineStr">
        <is>
          <t xml:space="preserve">  ADJUSTED NET INCOME</t>
        </is>
      </c>
      <c r="C48" s="31">
        <f>SUM('24-Month Projections'!C111:N111)</f>
        <v/>
      </c>
      <c r="D48" s="31">
        <f>SUM('24-Month Projections'!O111:Z111)</f>
        <v/>
      </c>
      <c r="E48" s="31">
        <f>C48+D48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B1:E28"/>
  <sheetViews>
    <sheetView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25" customWidth="1" min="3" max="3"/>
    <col width="25" customWidth="1" min="4" max="4"/>
    <col width="25" customWidth="1" min="5" max="5"/>
  </cols>
  <sheetData>
    <row r="1">
      <c r="B1" s="1" t="inlineStr">
        <is>
          <t>Scenario Playbook</t>
        </is>
      </c>
    </row>
    <row r="2">
      <c r="B2" s="2" t="inlineStr">
        <is>
          <t>Copy the workbook, change Assumptions, compare results</t>
        </is>
      </c>
    </row>
    <row r="4">
      <c r="B4" s="4" t="inlineStr">
        <is>
          <t>Assumption</t>
        </is>
      </c>
      <c r="C4" s="4" t="inlineStr">
        <is>
          <t>Conservative</t>
        </is>
      </c>
      <c r="D4" s="4" t="inlineStr">
        <is>
          <t>Base Case</t>
        </is>
      </c>
      <c r="E4" s="4" t="inlineStr">
        <is>
          <t>Optimistic</t>
        </is>
      </c>
    </row>
    <row r="5">
      <c r="B5" s="5" t="inlineStr">
        <is>
          <t>10-Year Charm Price</t>
        </is>
      </c>
      <c r="C5" s="41" t="inlineStr">
        <is>
          <t>$24.99</t>
        </is>
      </c>
      <c r="D5" s="42" t="inlineStr">
        <is>
          <t>$29.99</t>
        </is>
      </c>
      <c r="E5" s="41" t="inlineStr">
        <is>
          <t>$34.99</t>
        </is>
      </c>
    </row>
    <row r="6">
      <c r="B6" s="5" t="inlineStr">
        <is>
          <t>15-Year Charm Price</t>
        </is>
      </c>
      <c r="C6" s="41" t="inlineStr">
        <is>
          <t>$39.99</t>
        </is>
      </c>
      <c r="D6" s="42" t="inlineStr">
        <is>
          <t>$44.99</t>
        </is>
      </c>
      <c r="E6" s="41" t="inlineStr">
        <is>
          <t>$54.99</t>
        </is>
      </c>
    </row>
    <row r="7">
      <c r="B7" s="5" t="inlineStr">
        <is>
          <t>Perpetual Charm Price</t>
        </is>
      </c>
      <c r="C7" s="41" t="inlineStr">
        <is>
          <t>$59.99</t>
        </is>
      </c>
      <c r="D7" s="42" t="inlineStr">
        <is>
          <t>$69.99</t>
        </is>
      </c>
      <c r="E7" s="41" t="inlineStr">
        <is>
          <t>$89.99</t>
        </is>
      </c>
    </row>
    <row r="8">
      <c r="B8" s="5" t="inlineStr">
        <is>
          <t>Starting 10-Year Units/Mo</t>
        </is>
      </c>
      <c r="C8" s="41" t="inlineStr">
        <is>
          <t>50</t>
        </is>
      </c>
      <c r="D8" s="42" t="inlineStr">
        <is>
          <t>100</t>
        </is>
      </c>
      <c r="E8" s="41" t="inlineStr">
        <is>
          <t>200</t>
        </is>
      </c>
    </row>
    <row r="9">
      <c r="B9" s="5" t="inlineStr">
        <is>
          <t>Starting 15-Year Units/Mo</t>
        </is>
      </c>
      <c r="C9" s="41" t="inlineStr">
        <is>
          <t>20</t>
        </is>
      </c>
      <c r="D9" s="42" t="inlineStr">
        <is>
          <t>40</t>
        </is>
      </c>
      <c r="E9" s="41" t="inlineStr">
        <is>
          <t>80</t>
        </is>
      </c>
    </row>
    <row r="10">
      <c r="B10" s="5" t="inlineStr">
        <is>
          <t>Starting Perpetual Units/Mo</t>
        </is>
      </c>
      <c r="C10" s="41" t="inlineStr">
        <is>
          <t>5</t>
        </is>
      </c>
      <c r="D10" s="42" t="inlineStr">
        <is>
          <t>15</t>
        </is>
      </c>
      <c r="E10" s="41" t="inlineStr">
        <is>
          <t>30</t>
        </is>
      </c>
    </row>
    <row r="11">
      <c r="B11" s="5" t="inlineStr">
        <is>
          <t>MoM Growth (10-Year)</t>
        </is>
      </c>
      <c r="C11" s="41" t="inlineStr">
        <is>
          <t>5%</t>
        </is>
      </c>
      <c r="D11" s="42" t="inlineStr">
        <is>
          <t>8%</t>
        </is>
      </c>
      <c r="E11" s="41" t="inlineStr">
        <is>
          <t>12%</t>
        </is>
      </c>
    </row>
    <row r="12">
      <c r="B12" s="5" t="inlineStr">
        <is>
          <t>MoM Growth (15-Year)</t>
        </is>
      </c>
      <c r="C12" s="41" t="inlineStr">
        <is>
          <t>6%</t>
        </is>
      </c>
      <c r="D12" s="42" t="inlineStr">
        <is>
          <t>10%</t>
        </is>
      </c>
      <c r="E12" s="41" t="inlineStr">
        <is>
          <t>15%</t>
        </is>
      </c>
    </row>
    <row r="13">
      <c r="B13" s="5" t="inlineStr">
        <is>
          <t>MoM Growth (Perpetual)</t>
        </is>
      </c>
      <c r="C13" s="41" t="inlineStr">
        <is>
          <t>8%</t>
        </is>
      </c>
      <c r="D13" s="42" t="inlineStr">
        <is>
          <t>12%</t>
        </is>
      </c>
      <c r="E13" s="41" t="inlineStr">
        <is>
          <t>18%</t>
        </is>
      </c>
    </row>
    <row r="14">
      <c r="B14" s="5" t="inlineStr">
        <is>
          <t>COGS per Charm</t>
        </is>
      </c>
      <c r="C14" s="41" t="inlineStr">
        <is>
          <t>$10.00</t>
        </is>
      </c>
      <c r="D14" s="42" t="inlineStr">
        <is>
          <t>$8.50</t>
        </is>
      </c>
      <c r="E14" s="41" t="inlineStr">
        <is>
          <t>$7.00</t>
        </is>
      </c>
    </row>
    <row r="15">
      <c r="B15" s="5" t="inlineStr">
        <is>
          <t>Avg Content Size (MB)</t>
        </is>
      </c>
      <c r="C15" s="41" t="inlineStr">
        <is>
          <t>20</t>
        </is>
      </c>
      <c r="D15" s="42" t="inlineStr">
        <is>
          <t>35.9</t>
        </is>
      </c>
      <c r="E15" s="41" t="inlineStr">
        <is>
          <t>60</t>
        </is>
      </c>
    </row>
    <row r="16">
      <c r="B16" s="5" t="inlineStr">
        <is>
          <t>Views/Charm/Mo (New Period)</t>
        </is>
      </c>
      <c r="C16" s="41" t="inlineStr">
        <is>
          <t>4</t>
        </is>
      </c>
      <c r="D16" s="42" t="inlineStr">
        <is>
          <t>8</t>
        </is>
      </c>
      <c r="E16" s="41" t="inlineStr">
        <is>
          <t>15</t>
        </is>
      </c>
    </row>
    <row r="17">
      <c r="B17" s="5" t="inlineStr">
        <is>
          <t>Views/Charm/Mo (Long-Tail)</t>
        </is>
      </c>
      <c r="C17" s="41" t="inlineStr">
        <is>
          <t>1</t>
        </is>
      </c>
      <c r="D17" s="42" t="inlineStr">
        <is>
          <t>2</t>
        </is>
      </c>
      <c r="E17" s="41" t="inlineStr">
        <is>
          <t>5</t>
        </is>
      </c>
    </row>
    <row r="18">
      <c r="B18" s="5" t="inlineStr">
        <is>
          <t>Video Mix %</t>
        </is>
      </c>
      <c r="C18" s="41" t="inlineStr">
        <is>
          <t>40%</t>
        </is>
      </c>
      <c r="D18" s="42" t="inlineStr">
        <is>
          <t>55%</t>
        </is>
      </c>
      <c r="E18" s="41" t="inlineStr">
        <is>
          <t>70%</t>
        </is>
      </c>
    </row>
    <row r="19">
      <c r="B19" s="5" t="inlineStr">
        <is>
          <t>Marketing Budget (M1)</t>
        </is>
      </c>
      <c r="C19" s="41" t="inlineStr">
        <is>
          <t>$250</t>
        </is>
      </c>
      <c r="D19" s="42" t="inlineStr">
        <is>
          <t>$500</t>
        </is>
      </c>
      <c r="E19" s="41" t="inlineStr">
        <is>
          <t>$1,000</t>
        </is>
      </c>
    </row>
    <row r="20">
      <c r="B20" s="5" t="inlineStr">
        <is>
          <t>Extend Memory Attach Rate</t>
        </is>
      </c>
      <c r="C20" s="41" t="inlineStr">
        <is>
          <t>1%</t>
        </is>
      </c>
      <c r="D20" s="42" t="inlineStr">
        <is>
          <t>2%</t>
        </is>
      </c>
      <c r="E20" s="41" t="inlineStr">
        <is>
          <t>4%</t>
        </is>
      </c>
    </row>
    <row r="21">
      <c r="B21" s="5" t="inlineStr">
        <is>
          <t>Gift Wrap Attach Rate</t>
        </is>
      </c>
      <c r="C21" s="41" t="inlineStr">
        <is>
          <t>8%</t>
        </is>
      </c>
      <c r="D21" s="42" t="inlineStr">
        <is>
          <t>15%</t>
        </is>
      </c>
      <c r="E21" s="41" t="inlineStr">
        <is>
          <t>25%</t>
        </is>
      </c>
    </row>
    <row r="23">
      <c r="B23" s="3" t="inlineStr">
        <is>
          <t>HOW TO USE:</t>
        </is>
      </c>
    </row>
    <row r="24">
      <c r="B24" s="43" t="inlineStr">
        <is>
          <t>1. Base Case values match the Assumptions sheet defaults</t>
        </is>
      </c>
    </row>
    <row r="25">
      <c r="B25" s="43" t="inlineStr">
        <is>
          <t>2. Go to Assumptions sheet and change the yellow cells</t>
        </is>
      </c>
    </row>
    <row r="26">
      <c r="B26" s="43" t="inlineStr">
        <is>
          <t>3. Projections and Annual Summary auto-update</t>
        </is>
      </c>
    </row>
    <row r="27">
      <c r="B27" s="43" t="inlineStr">
        <is>
          <t>4. File &gt; Save As to create copies for each scenario</t>
        </is>
      </c>
    </row>
    <row r="28">
      <c r="B28" s="43" t="inlineStr">
        <is>
          <t>5. Key infrastructure levers: content size, views/charm, video mix 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32F2F"/>
    <outlinePr summaryBelow="1" summaryRight="1"/>
    <pageSetUpPr/>
  </sheetPr>
  <dimension ref="B1:G85"/>
  <sheetViews>
    <sheetView workbookViewId="0">
      <selection activeCell="A1" sqref="A1"/>
    </sheetView>
  </sheetViews>
  <sheetFormatPr baseColWidth="8" defaultRowHeight="15"/>
  <cols>
    <col width="3" customWidth="1" min="1" max="1"/>
    <col width="55" customWidth="1" min="2" max="2"/>
    <col width="22" customWidth="1" min="3" max="3"/>
    <col width="22" customWidth="1" min="4" max="4"/>
    <col width="22" customWidth="1" min="5" max="5"/>
    <col width="40" customWidth="1" min="6" max="6"/>
    <col width="16" customWidth="1" min="7" max="7"/>
  </cols>
  <sheetData>
    <row r="1">
      <c r="B1" s="1" t="inlineStr">
        <is>
          <t>Per-Charm Hosting Cost Breakdown (No Free Tier)</t>
        </is>
      </c>
    </row>
    <row r="2">
      <c r="B2" s="2" t="inlineStr">
        <is>
          <t>What it costs to host ONE charm — raw service rates, no free tier credits applied</t>
        </is>
      </c>
    </row>
    <row r="3">
      <c r="B3" s="2" t="inlineStr">
        <is>
          <t>All values linked to Assumptions sheet — change inputs there to update these costs</t>
        </is>
      </c>
    </row>
    <row r="5">
      <c r="B5" s="3" t="inlineStr">
        <is>
          <t>SINGLE CHARM PROFILE</t>
        </is>
      </c>
    </row>
    <row r="6">
      <c r="B6" s="4" t="inlineStr">
        <is>
          <t>Metric</t>
        </is>
      </c>
      <c r="C6" s="4" t="inlineStr">
        <is>
          <t>Value</t>
        </is>
      </c>
      <c r="D6" s="4" t="inlineStr">
        <is>
          <t>Unit</t>
        </is>
      </c>
    </row>
    <row r="7">
      <c r="B7" s="5" t="inlineStr">
        <is>
          <t>Content size (weighted avg)</t>
        </is>
      </c>
      <c r="C7" s="11">
        <f>Assumptions!C33</f>
        <v/>
      </c>
      <c r="D7" s="10" t="inlineStr">
        <is>
          <t>MB</t>
        </is>
      </c>
      <c r="F7" s="10" t="inlineStr">
        <is>
          <t>From Assumptions: video/image/audio weighted mix</t>
        </is>
      </c>
    </row>
    <row r="8">
      <c r="B8" s="5" t="inlineStr">
        <is>
          <t>Content size in GB</t>
        </is>
      </c>
      <c r="C8" s="44">
        <f>C7/1024</f>
        <v/>
      </c>
      <c r="D8" s="10" t="inlineStr">
        <is>
          <t>GB</t>
        </is>
      </c>
    </row>
    <row r="9">
      <c r="B9" s="5" t="inlineStr">
        <is>
          <t>Views per month (first 3 months — novelty)</t>
        </is>
      </c>
      <c r="C9" s="19">
        <f>Assumptions!C38</f>
        <v/>
      </c>
      <c r="D9" s="10" t="inlineStr">
        <is>
          <t>views/month</t>
        </is>
      </c>
    </row>
    <row r="10">
      <c r="B10" s="5" t="inlineStr">
        <is>
          <t>Views per month (after 3 months — long-tail)</t>
        </is>
      </c>
      <c r="C10" s="19">
        <f>Assumptions!C39</f>
        <v/>
      </c>
      <c r="D10" s="10" t="inlineStr">
        <is>
          <t>views/month</t>
        </is>
      </c>
    </row>
    <row r="11">
      <c r="B11" s="12" t="inlineStr">
        <is>
          <t>Blended avg views/month (assuming mostly long-tail)</t>
        </is>
      </c>
      <c r="C11" s="23">
        <f>ROUND((C9*3+C10*9)/12,1)</f>
        <v/>
      </c>
      <c r="D11" s="10" t="inlineStr">
        <is>
          <t>views/month</t>
        </is>
      </c>
      <c r="F11" s="10" t="inlineStr">
        <is>
          <t>Year-weighted: 3 months novelty + 9 months long-tail</t>
        </is>
      </c>
    </row>
    <row r="12">
      <c r="B12" s="5" t="inlineStr">
        <is>
          <t>% of views requiring glyph verification</t>
        </is>
      </c>
      <c r="C12" s="38">
        <f>Assumptions!C40</f>
        <v/>
      </c>
    </row>
    <row r="13">
      <c r="B13" s="5" t="inlineStr">
        <is>
          <t>API calls per view (GetCharm + glyph if needed)</t>
        </is>
      </c>
      <c r="C13" s="11">
        <f>1+C12</f>
        <v/>
      </c>
      <c r="F13" s="10" t="inlineStr">
        <is>
          <t>1 GetCharm call per view + glyph verify probability</t>
        </is>
      </c>
    </row>
    <row r="14">
      <c r="B14" s="5" t="inlineStr">
        <is>
          <t>Table reads per view</t>
        </is>
      </c>
      <c r="C14" s="19">
        <f>Assumptions!C43</f>
        <v/>
      </c>
    </row>
    <row r="15">
      <c r="B15" s="5" t="inlineStr">
        <is>
          <t>Table writes per view (glyph attempts + rate-limit log)</t>
        </is>
      </c>
      <c r="C15" s="24">
        <f>ROUND(C12*2+0.1,1)</f>
        <v/>
      </c>
      <c r="F15" s="10" t="inlineStr">
        <is>
          <t>2 writes per glyph verify + 10% sampled request logging</t>
        </is>
      </c>
    </row>
    <row r="17">
      <c r="B17" s="3" t="inlineStr">
        <is>
          <t>ONE-TIME SETUP COSTS (per charm — claim through finalize)</t>
        </is>
      </c>
    </row>
    <row r="18">
      <c r="B18" s="4" t="inlineStr">
        <is>
          <t>Service / Operation</t>
        </is>
      </c>
      <c r="C18" s="4" t="inlineStr">
        <is>
          <t>Cost</t>
        </is>
      </c>
      <c r="D18" s="4" t="inlineStr">
        <is>
          <t>Calculation</t>
        </is>
      </c>
      <c r="E18" s="4" t="inlineStr">
        <is>
          <t>Notes</t>
        </is>
      </c>
    </row>
    <row r="19">
      <c r="B19" s="5" t="inlineStr">
        <is>
          <t>Azure Functions: Lifecycle API Calls</t>
        </is>
      </c>
      <c r="C19" s="45">
        <f>(Assumptions!C41/1000000)*Assumptions!C69 + Assumptions!C41*(Assumptions!C71/1000)*(Assumptions!C72/1024)*Assumptions!C70</f>
        <v/>
      </c>
      <c r="D19" s="10" t="inlineStr">
        <is>
          <t>5 calls x exec + compute cost</t>
        </is>
      </c>
      <c r="F19" s="10" t="inlineStr">
        <is>
          <t>claim + configure + get-upload-urls + finalize + preview</t>
        </is>
      </c>
    </row>
    <row r="20">
      <c r="B20" s="5" t="inlineStr">
        <is>
          <t>Cloudflare R2: Upload Writes (Class A)</t>
        </is>
      </c>
      <c r="C20" s="45">
        <f>(2*(1+Assumptions!C35)/1000000)*Assumptions!C56</f>
        <v/>
      </c>
      <c r="D20" s="10" t="inlineStr">
        <is>
          <t>2 PUT ops x (1+re-upload rate)</t>
        </is>
      </c>
      <c r="F20" s="10" t="inlineStr">
        <is>
          <t>PUT blob + list verify; re-uploads during 14-day settling</t>
        </is>
      </c>
    </row>
    <row r="21">
      <c r="B21" s="5" t="inlineStr">
        <is>
          <t>Azure Blob: Backup Upload Writes</t>
        </is>
      </c>
      <c r="C21" s="45">
        <f>(2*(1+Assumptions!C35)/10000)*Assumptions!C48</f>
        <v/>
      </c>
      <c r="D21" s="10" t="inlineStr">
        <is>
          <t>2 ops x (1+re-upload rate) / 10K</t>
        </is>
      </c>
    </row>
    <row r="22">
      <c r="B22" s="5" t="inlineStr">
        <is>
          <t>Azure Table: Setup Entity Writes</t>
        </is>
      </c>
      <c r="C22" s="45">
        <f>(Assumptions!C42/10000)*Assumptions!C64</f>
        <v/>
      </c>
      <c r="D22" s="10" t="inlineStr">
        <is>
          <t>8 writes / 10K x txn rate</t>
        </is>
      </c>
      <c r="F22" s="10" t="inlineStr">
        <is>
          <t>charm + user-charm + profile + request log entities</t>
        </is>
      </c>
    </row>
    <row r="23">
      <c r="B23" s="5" t="inlineStr">
        <is>
          <t>Azure Table: Entity Storage (first month)</t>
        </is>
      </c>
      <c r="C23" s="45">
        <f>(Assumptions!C65/1024/1024)*Assumptions!C63</f>
        <v/>
      </c>
      <c r="D23" s="10" t="inlineStr">
        <is>
          <t>~2 KB entity / GB x rate</t>
        </is>
      </c>
    </row>
    <row r="24">
      <c r="B24" s="27" t="inlineStr">
        <is>
          <t>TOTAL ONE-TIME SETUP COST</t>
        </is>
      </c>
      <c r="C24" s="46">
        <f>SUM(C19:C23)</f>
        <v/>
      </c>
      <c r="D24" s="47" t="n"/>
      <c r="E24" s="47" t="n"/>
    </row>
    <row r="26">
      <c r="B26" s="3" t="inlineStr">
        <is>
          <t>MONTHLY ONGOING COSTS (per charm — storage + playback)</t>
        </is>
      </c>
      <c r="F26" s="10" t="inlineStr">
        <is>
          <t>Assumes blended avg views/month from row 11</t>
        </is>
      </c>
    </row>
    <row r="27">
      <c r="B27" s="4" t="inlineStr">
        <is>
          <t>Service / Operation</t>
        </is>
      </c>
      <c r="C27" s="4" t="inlineStr">
        <is>
          <t>$/Month</t>
        </is>
      </c>
      <c r="D27" s="4" t="inlineStr">
        <is>
          <t>Calculation</t>
        </is>
      </c>
      <c r="E27" s="4" t="inlineStr">
        <is>
          <t>Notes</t>
        </is>
      </c>
    </row>
    <row r="28">
      <c r="B28" s="48" t="inlineStr">
        <is>
          <t>CLOUDFLARE R2</t>
        </is>
      </c>
      <c r="C28" s="49" t="n"/>
      <c r="D28" s="49" t="n"/>
      <c r="E28" s="49" t="n"/>
    </row>
    <row r="29">
      <c r="B29" s="5" t="inlineStr">
        <is>
          <t xml:space="preserve">  R2: Storage (content GB x rate)</t>
        </is>
      </c>
      <c r="C29" s="45">
        <f>C8*Assumptions!C55</f>
        <v/>
      </c>
      <c r="D29" s="10" t="inlineStr">
        <is>
          <t>GB x $0.015/GB/mo</t>
        </is>
      </c>
    </row>
    <row r="30">
      <c r="B30" s="5" t="inlineStr">
        <is>
          <t xml:space="preserve">  R2: Class B Reads — playback downloads</t>
        </is>
      </c>
      <c r="C30" s="45">
        <f>(C11/1000000)*Assumptions!C57</f>
        <v/>
      </c>
      <c r="D30" s="10" t="inlineStr">
        <is>
          <t>views/mo / 1M x rate</t>
        </is>
      </c>
      <c r="F30" s="10" t="inlineStr">
        <is>
          <t>Every view = 1 GET from R2</t>
        </is>
      </c>
    </row>
    <row r="31">
      <c r="B31" s="5" t="inlineStr">
        <is>
          <t xml:space="preserve">  R2: Egress / Bandwidth</t>
        </is>
      </c>
      <c r="C31" s="45">
        <f>C11*C8*Assumptions!C58</f>
        <v/>
      </c>
      <c r="D31" s="10" t="inlineStr">
        <is>
          <t>$0.00 — zero egress</t>
        </is>
      </c>
      <c r="F31" s="10" t="inlineStr">
        <is>
          <t>Cloudflare's key advantage: zero bandwidth cost</t>
        </is>
      </c>
    </row>
    <row r="32">
      <c r="B32" s="12" t="inlineStr">
        <is>
          <t xml:space="preserve">  R2 SUBTOTAL</t>
        </is>
      </c>
      <c r="C32" s="50">
        <f>C29+C30+C31</f>
        <v/>
      </c>
    </row>
    <row r="34">
      <c r="B34" s="48" t="inlineStr">
        <is>
          <t>AZURE BLOB STORAGE — COOL TIER</t>
        </is>
      </c>
      <c r="C34" s="49" t="n"/>
      <c r="D34" s="49" t="n"/>
      <c r="E34" s="49" t="n"/>
    </row>
    <row r="35">
      <c r="B35" s="5" t="inlineStr">
        <is>
          <t xml:space="preserve">  Azure Blob: Storage (backup mirror — same GB)</t>
        </is>
      </c>
      <c r="C35" s="45">
        <f>C8*Assumptions!C47</f>
        <v/>
      </c>
      <c r="D35" s="10" t="inlineStr">
        <is>
          <t>GB x $0.01/GB/mo</t>
        </is>
      </c>
    </row>
    <row r="36">
      <c r="B36" s="5" t="inlineStr">
        <is>
          <t xml:space="preserve">  Azure Blob: Read Ops (fallback — 2% of views)</t>
        </is>
      </c>
      <c r="C36" s="45">
        <f>(C11*0.02/10000)*Assumptions!C49</f>
        <v/>
      </c>
      <c r="D36" s="10" t="inlineStr">
        <is>
          <t>2% fallback reads</t>
        </is>
      </c>
      <c r="F36" s="10" t="inlineStr">
        <is>
          <t>Only when R2 is unavailable; client falls back to Azure</t>
        </is>
      </c>
    </row>
    <row r="37">
      <c r="B37" s="5" t="inlineStr">
        <is>
          <t xml:space="preserve">  Azure Blob: Data Retrieval (cool tier penalty)</t>
        </is>
      </c>
      <c r="C37" s="45">
        <f>C11*0.02*C8*Assumptions!C50</f>
        <v/>
      </c>
      <c r="D37" s="10" t="inlineStr">
        <is>
          <t>2% fallback x GB x retrieval rate</t>
        </is>
      </c>
      <c r="F37" s="10" t="inlineStr">
        <is>
          <t>Cool tier charges per-GB on read; hot tier does not</t>
        </is>
      </c>
    </row>
    <row r="38">
      <c r="B38" s="5" t="inlineStr">
        <is>
          <t xml:space="preserve">  Azure Blob: Egress (fallback downloads)</t>
        </is>
      </c>
      <c r="C38" s="45">
        <f>C11*0.02*C8*Assumptions!C51</f>
        <v/>
      </c>
      <c r="D38" s="10" t="inlineStr">
        <is>
          <t>2% fallback x GB x egress rate</t>
        </is>
      </c>
      <c r="F38" s="10" t="inlineStr">
        <is>
          <t>$0.087/GB — only on Azure-direct downloads</t>
        </is>
      </c>
    </row>
    <row r="39">
      <c r="B39" s="12" t="inlineStr">
        <is>
          <t xml:space="preserve">  Azure Blob SUBTOTAL</t>
        </is>
      </c>
      <c r="C39" s="50">
        <f>C35+C36+C37+C38</f>
        <v/>
      </c>
    </row>
    <row r="41">
      <c r="B41" s="48" t="inlineStr">
        <is>
          <t>AZURE TABLE STORAGE</t>
        </is>
      </c>
      <c r="C41" s="49" t="n"/>
      <c r="D41" s="49" t="n"/>
      <c r="E41" s="49" t="n"/>
    </row>
    <row r="42">
      <c r="B42" s="5" t="inlineStr">
        <is>
          <t xml:space="preserve">  Table: Entity Storage (ongoing)</t>
        </is>
      </c>
      <c r="C42" s="45">
        <f>(Assumptions!C65/1024/1024)*Assumptions!C63</f>
        <v/>
      </c>
      <c r="D42" s="10" t="inlineStr">
        <is>
          <t>~2 KB entity set / month</t>
        </is>
      </c>
    </row>
    <row r="43">
      <c r="B43" s="5" t="inlineStr">
        <is>
          <t xml:space="preserve">  Table: Read Transactions (views x reads/view)</t>
        </is>
      </c>
      <c r="C43" s="45">
        <f>(C11*C14/10000)*Assumptions!C64</f>
        <v/>
      </c>
      <c r="D43" s="10" t="inlineStr">
        <is>
          <t>views x 3 reads / 10K x rate</t>
        </is>
      </c>
    </row>
    <row r="44">
      <c r="B44" s="5" t="inlineStr">
        <is>
          <t xml:space="preserve">  Table: Write Transactions (glyph + logging)</t>
        </is>
      </c>
      <c r="C44" s="45">
        <f>(C11*C15/10000)*Assumptions!C64</f>
        <v/>
      </c>
      <c r="D44" s="10" t="inlineStr">
        <is>
          <t>views x writes/view / 10K x rate</t>
        </is>
      </c>
    </row>
    <row r="45">
      <c r="B45" s="12" t="inlineStr">
        <is>
          <t xml:space="preserve">  Azure Table SUBTOTAL</t>
        </is>
      </c>
      <c r="C45" s="50">
        <f>C42+C43+C44</f>
        <v/>
      </c>
    </row>
    <row r="47">
      <c r="B47" s="48" t="inlineStr">
        <is>
          <t>AZURE FUNCTIONS (Compute)</t>
        </is>
      </c>
      <c r="C47" s="49" t="n"/>
      <c r="D47" s="49" t="n"/>
      <c r="E47" s="49" t="n"/>
    </row>
    <row r="48">
      <c r="B48" s="5" t="inlineStr">
        <is>
          <t xml:space="preserve">  Functions: Execution Cost (view + glyph calls)</t>
        </is>
      </c>
      <c r="C48" s="45">
        <f>(C11*C13/1000000)*Assumptions!C69</f>
        <v/>
      </c>
      <c r="D48" s="10" t="inlineStr">
        <is>
          <t>calls / 1M x $0.20</t>
        </is>
      </c>
    </row>
    <row r="49">
      <c r="B49" s="5" t="inlineStr">
        <is>
          <t xml:space="preserve">  Functions: Compute GB-seconds</t>
        </is>
      </c>
      <c r="C49" s="45">
        <f>C11*C13*(Assumptions!C71/1000)*(Assumptions!C72/1024)*Assumptions!C70</f>
        <v/>
      </c>
      <c r="D49" s="10" t="inlineStr">
        <is>
          <t>calls x duration x memory x rate</t>
        </is>
      </c>
      <c r="F49" s="10" t="inlineStr">
        <is>
          <t>~200ms avg x 128MB per invocation</t>
        </is>
      </c>
    </row>
    <row r="50">
      <c r="B50" s="12" t="inlineStr">
        <is>
          <t xml:space="preserve">  Azure Functions SUBTOTAL</t>
        </is>
      </c>
      <c r="C50" s="50">
        <f>C48+C49</f>
        <v/>
      </c>
    </row>
    <row r="52">
      <c r="B52" s="48" t="inlineStr">
        <is>
          <t>ENTRA CIAM (Authentication)</t>
        </is>
      </c>
      <c r="C52" s="49" t="n"/>
      <c r="D52" s="49" t="n"/>
      <c r="E52" s="49" t="n"/>
    </row>
    <row r="53">
      <c r="B53" s="5" t="inlineStr">
        <is>
          <t xml:space="preserve">  CIAM: Per-MAU cost (1 charm ≈ 0.3 MAU avg)</t>
        </is>
      </c>
      <c r="C53" s="45">
        <f>0.3*Assumptions!C79</f>
        <v/>
      </c>
      <c r="D53" s="10" t="inlineStr">
        <is>
          <t>0.3 MAU x $0.0025/MAU</t>
        </is>
      </c>
      <c r="F53" s="10" t="inlineStr">
        <is>
          <t>Not every charm = unique monthly active user</t>
        </is>
      </c>
    </row>
    <row r="54">
      <c r="B54" s="12" t="inlineStr">
        <is>
          <t xml:space="preserve">  CIAM SUBTOTAL</t>
        </is>
      </c>
      <c r="C54" s="50">
        <f>C53</f>
        <v/>
      </c>
    </row>
    <row r="56">
      <c r="B56" s="51" t="inlineStr">
        <is>
          <t>TOTAL MONTHLY HOSTING COST (per charm)</t>
        </is>
      </c>
      <c r="C56" s="52">
        <f>C32+C39+C45+C50+C54</f>
        <v/>
      </c>
      <c r="D56" s="47" t="n"/>
      <c r="E56" s="47" t="n"/>
    </row>
    <row r="58">
      <c r="B58" s="3" t="inlineStr">
        <is>
          <t>ANNUAL &amp; LIFETIME COST SUMMARY (per charm)</t>
        </is>
      </c>
    </row>
    <row r="59">
      <c r="B59" s="4" t="inlineStr">
        <is>
          <t>Time Horizon</t>
        </is>
      </c>
      <c r="C59" s="4" t="inlineStr">
        <is>
          <t>Hosting Cost</t>
        </is>
      </c>
      <c r="D59" s="4" t="inlineStr">
        <is>
          <t>Incl. Setup</t>
        </is>
      </c>
      <c r="E59" s="4" t="inlineStr">
        <is>
          <t>Notes</t>
        </is>
      </c>
    </row>
    <row r="60">
      <c r="B60" s="12" t="inlineStr">
        <is>
          <t>Annual Hosting Cost (monthly x 12)</t>
        </is>
      </c>
      <c r="C60" s="53">
        <f>C56*12</f>
        <v/>
      </c>
      <c r="D60" s="53">
        <f>C56*12+C24</f>
        <v/>
      </c>
      <c r="F60" s="10" t="inlineStr">
        <is>
          <t>Pure recurring hosting — no COGS, no shipping</t>
        </is>
      </c>
    </row>
    <row r="61">
      <c r="B61" s="12" t="inlineStr">
        <is>
          <t>Year 1 Total (setup + 12 months hosting)</t>
        </is>
      </c>
      <c r="C61" s="53">
        <f>C56*12</f>
        <v/>
      </c>
      <c r="D61" s="53">
        <f>C24+C56*12</f>
        <v/>
      </c>
      <c r="F61" s="10" t="inlineStr">
        <is>
          <t>First year is highest — includes one-time setup</t>
        </is>
      </c>
    </row>
    <row r="63">
      <c r="B63" s="3" t="inlineStr">
        <is>
          <t>LIFETIME HOSTING BY TIER</t>
        </is>
      </c>
    </row>
    <row r="64">
      <c r="B64" s="4" t="inlineStr">
        <is>
          <t>Tier</t>
        </is>
      </c>
      <c r="C64" s="4" t="inlineStr">
        <is>
          <t>Hosting Only</t>
        </is>
      </c>
      <c r="D64" s="4" t="inlineStr">
        <is>
          <t>Incl. Setup</t>
        </is>
      </c>
      <c r="E64" s="4" t="inlineStr">
        <is>
          <t>As % of Retail Price</t>
        </is>
      </c>
      <c r="F64" s="4" t="inlineStr">
        <is>
          <t>Hosting Profit/Loss</t>
        </is>
      </c>
    </row>
    <row r="65">
      <c r="B65" s="5" t="inlineStr">
        <is>
          <t>10-Year Charm (120 months hosting)</t>
        </is>
      </c>
      <c r="C65" s="26">
        <f>C56*120</f>
        <v/>
      </c>
      <c r="D65" s="26">
        <f>C24+C56*120</f>
        <v/>
      </c>
      <c r="E65" s="38">
        <f>IF(Assumptions!C6&gt;0,D65/Assumptions!C6,0)</f>
        <v/>
      </c>
      <c r="F65" s="7">
        <f>Assumptions!C6-D65</f>
        <v/>
      </c>
    </row>
    <row r="66">
      <c r="B66" s="5" t="inlineStr">
        <is>
          <t>15-Year Charm (180 months hosting)</t>
        </is>
      </c>
      <c r="C66" s="26">
        <f>C56*180</f>
        <v/>
      </c>
      <c r="D66" s="26">
        <f>C24+C56*180</f>
        <v/>
      </c>
      <c r="E66" s="38">
        <f>IF(Assumptions!C7&gt;0,D66/Assumptions!C7,0)</f>
        <v/>
      </c>
      <c r="F66" s="7">
        <f>Assumptions!C7-D66</f>
        <v/>
      </c>
    </row>
    <row r="67">
      <c r="B67" s="5" t="inlineStr">
        <is>
          <t>Retail / Perpetual Charm (30-year est = 360 months)</t>
        </is>
      </c>
      <c r="C67" s="26">
        <f>C56*360</f>
        <v/>
      </c>
      <c r="D67" s="26">
        <f>C24+C56*360</f>
        <v/>
      </c>
      <c r="E67" s="38">
        <f>IF(Assumptions!C8&gt;0,D67/Assumptions!C8,0)</f>
        <v/>
      </c>
      <c r="F67" s="7">
        <f>Assumptions!C8-D67</f>
        <v/>
      </c>
    </row>
    <row r="69">
      <c r="B69" s="3" t="inlineStr">
        <is>
          <t>MONTHLY COST — SERVICE BREAKDOWN (%)</t>
        </is>
      </c>
    </row>
    <row r="70">
      <c r="B70" s="4" t="inlineStr">
        <is>
          <t>Service</t>
        </is>
      </c>
      <c r="C70" s="4" t="inlineStr">
        <is>
          <t>$/Month</t>
        </is>
      </c>
      <c r="D70" s="4" t="inlineStr">
        <is>
          <t>% of Total</t>
        </is>
      </c>
      <c r="E70" s="4" t="inlineStr">
        <is>
          <t>Key Driver</t>
        </is>
      </c>
    </row>
    <row r="71">
      <c r="B71" s="5" t="inlineStr">
        <is>
          <t>Cloudflare R2</t>
        </is>
      </c>
      <c r="C71" s="45">
        <f>C32</f>
        <v/>
      </c>
      <c r="D71" s="38">
        <f>IF(C56&gt;0,C32/C56,0)</f>
        <v/>
      </c>
      <c r="E71" s="10" t="inlineStr">
        <is>
          <t>Storage volume (GB per charm)</t>
        </is>
      </c>
    </row>
    <row r="72">
      <c r="B72" s="5" t="inlineStr">
        <is>
          <t>Azure Blob (Cool Backup)</t>
        </is>
      </c>
      <c r="C72" s="45">
        <f>C39</f>
        <v/>
      </c>
      <c r="D72" s="38">
        <f>IF(C56&gt;0,C39/C56,0)</f>
        <v/>
      </c>
      <c r="E72" s="10" t="inlineStr">
        <is>
          <t>Storage + fallback reads</t>
        </is>
      </c>
    </row>
    <row r="73">
      <c r="B73" s="5" t="inlineStr">
        <is>
          <t>Azure Table Storage</t>
        </is>
      </c>
      <c r="C73" s="45">
        <f>C45</f>
        <v/>
      </c>
      <c r="D73" s="38">
        <f>IF(C56&gt;0,C45/C56,0)</f>
        <v/>
      </c>
      <c r="E73" s="10" t="inlineStr">
        <is>
          <t>Transaction volume (views x ops)</t>
        </is>
      </c>
    </row>
    <row r="74">
      <c r="B74" s="5" t="inlineStr">
        <is>
          <t>Azure Functions</t>
        </is>
      </c>
      <c r="C74" s="45">
        <f>C50</f>
        <v/>
      </c>
      <c r="D74" s="38">
        <f>IF(C56&gt;0,C50/C56,0)</f>
        <v/>
      </c>
      <c r="E74" s="10" t="inlineStr">
        <is>
          <t>API call volume</t>
        </is>
      </c>
    </row>
    <row r="75">
      <c r="B75" s="5" t="inlineStr">
        <is>
          <t>Entra CIAM</t>
        </is>
      </c>
      <c r="C75" s="45">
        <f>C54</f>
        <v/>
      </c>
      <c r="D75" s="38">
        <f>IF(C56&gt;0,C54/C56,0)</f>
        <v/>
      </c>
      <c r="E75" s="10" t="inlineStr">
        <is>
          <t>Monthly active users</t>
        </is>
      </c>
    </row>
    <row r="76">
      <c r="B76" s="27" t="inlineStr">
        <is>
          <t>TOTAL</t>
        </is>
      </c>
      <c r="C76" s="46">
        <f>C56</f>
        <v/>
      </c>
      <c r="D76" s="54">
        <f>SUM(D71:D75)</f>
        <v/>
      </c>
    </row>
    <row r="78">
      <c r="B78" s="3" t="inlineStr">
        <is>
          <t>CONTENT SIZE SENSITIVITY — Monthly Cost at Different Sizes</t>
        </is>
      </c>
      <c r="F78" s="10" t="inlineStr">
        <is>
          <t>Holding view rate constant, varying content size</t>
        </is>
      </c>
    </row>
    <row r="79">
      <c r="B79" s="4" t="inlineStr">
        <is>
          <t>Content Size</t>
        </is>
      </c>
      <c r="C79" s="4" t="inlineStr">
        <is>
          <t>R2 Storage</t>
        </is>
      </c>
      <c r="D79" s="4" t="inlineStr">
        <is>
          <t>Azure Blob</t>
        </is>
      </c>
      <c r="E79" s="4" t="inlineStr">
        <is>
          <t>Functions+Table</t>
        </is>
      </c>
      <c r="F79" s="4" t="inlineStr">
        <is>
          <t>Total Monthly</t>
        </is>
      </c>
      <c r="G79" s="4" t="inlineStr">
        <is>
          <t>Annual (x12)</t>
        </is>
      </c>
    </row>
    <row r="80">
      <c r="B80" s="5" t="inlineStr">
        <is>
          <t>6 MB (audio only)</t>
        </is>
      </c>
      <c r="C80" s="45">
        <f>(6/1024)*Assumptions!C55</f>
        <v/>
      </c>
      <c r="D80" s="45">
        <f>(6/1024)*Assumptions!C47 + (C11*0.02/10000)*Assumptions!C49 + C11*0.02*(6/1024)*Assumptions!C50 + C11*0.02*(6/1024)*Assumptions!C51</f>
        <v/>
      </c>
      <c r="E80" s="45">
        <f>C50+C45</f>
        <v/>
      </c>
      <c r="F80" s="36">
        <f>C80+D80+E80+C54</f>
        <v/>
      </c>
      <c r="G80" s="36">
        <f>F80*12</f>
        <v/>
      </c>
    </row>
    <row r="81">
      <c r="B81" s="5" t="inlineStr">
        <is>
          <t>15 MB (image gallery)</t>
        </is>
      </c>
      <c r="C81" s="45">
        <f>(15/1024)*Assumptions!C55</f>
        <v/>
      </c>
      <c r="D81" s="45">
        <f>(15/1024)*Assumptions!C47 + (C11*0.02/10000)*Assumptions!C49 + C11*0.02*(15/1024)*Assumptions!C50 + C11*0.02*(15/1024)*Assumptions!C51</f>
        <v/>
      </c>
      <c r="E81" s="45">
        <f>C50+C45</f>
        <v/>
      </c>
      <c r="F81" s="36">
        <f>C81+D81+E81+C54</f>
        <v/>
      </c>
      <c r="G81" s="36">
        <f>F81*12</f>
        <v/>
      </c>
    </row>
    <row r="82">
      <c r="B82" s="30" t="inlineStr">
        <is>
          <t>35.85 MB (weighted avg — base case)</t>
        </is>
      </c>
      <c r="C82" s="55">
        <f>(35.85/1024)*Assumptions!C55</f>
        <v/>
      </c>
      <c r="D82" s="55">
        <f>(35.85/1024)*Assumptions!C47 + (C11*0.02/10000)*Assumptions!C49 + C11*0.02*(35.85/1024)*Assumptions!C50 + C11*0.02*(35.85/1024)*Assumptions!C51</f>
        <v/>
      </c>
      <c r="E82" s="55">
        <f>C50+C45</f>
        <v/>
      </c>
      <c r="F82" s="56">
        <f>C82+D82+E82+C54</f>
        <v/>
      </c>
      <c r="G82" s="36">
        <f>F82*12</f>
        <v/>
      </c>
    </row>
    <row r="83">
      <c r="B83" s="5" t="inlineStr">
        <is>
          <t>55 MB (avg video — iPhone 1080p mix)</t>
        </is>
      </c>
      <c r="C83" s="45">
        <f>(55/1024)*Assumptions!C55</f>
        <v/>
      </c>
      <c r="D83" s="45">
        <f>(55/1024)*Assumptions!C47 + (C11*0.02/10000)*Assumptions!C49 + C11*0.02*(55/1024)*Assumptions!C50 + C11*0.02*(55/1024)*Assumptions!C51</f>
        <v/>
      </c>
      <c r="E83" s="45">
        <f>C50+C45</f>
        <v/>
      </c>
      <c r="F83" s="36">
        <f>C83+D83+E83+C54</f>
        <v/>
      </c>
      <c r="G83" s="36">
        <f>F83*12</f>
        <v/>
      </c>
    </row>
    <row r="84">
      <c r="B84" s="5" t="inlineStr">
        <is>
          <t>100 MB (4K / H.264 heavy)</t>
        </is>
      </c>
      <c r="C84" s="45">
        <f>(100/1024)*Assumptions!C55</f>
        <v/>
      </c>
      <c r="D84" s="45">
        <f>(100/1024)*Assumptions!C47 + (C11*0.02/10000)*Assumptions!C49 + C11*0.02*(100/1024)*Assumptions!C50 + C11*0.02*(100/1024)*Assumptions!C51</f>
        <v/>
      </c>
      <c r="E84" s="45">
        <f>C50+C45</f>
        <v/>
      </c>
      <c r="F84" s="36">
        <f>C84+D84+E84+C54</f>
        <v/>
      </c>
      <c r="G84" s="36">
        <f>F84*12</f>
        <v/>
      </c>
    </row>
    <row r="85">
      <c r="B85" s="5" t="inlineStr">
        <is>
          <t>150 MB (max — 150 MB limit)</t>
        </is>
      </c>
      <c r="C85" s="45">
        <f>(150/1024)*Assumptions!C55</f>
        <v/>
      </c>
      <c r="D85" s="45">
        <f>(150/1024)*Assumptions!C47 + (C11*0.02/10000)*Assumptions!C49 + C11*0.02*(150/1024)*Assumptions!C50 + C11*0.02*(150/1024)*Assumptions!C51</f>
        <v/>
      </c>
      <c r="E85" s="45">
        <f>C50+C45</f>
        <v/>
      </c>
      <c r="F85" s="36">
        <f>C85+D85+E85+C54</f>
        <v/>
      </c>
      <c r="G85" s="36">
        <f>F85*12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/>
  </sheetPr>
  <dimension ref="B1:Z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B1" s="1" t="inlineStr">
        <is>
          <t>Revenue Recognition — Cash vs Hybrid vs Straight-Line</t>
        </is>
      </c>
    </row>
    <row r="2">
      <c r="B2" s="2" t="inlineStr">
        <is>
          <t>Compares when revenue is recognized under each method + deferred revenue liability</t>
        </is>
      </c>
    </row>
    <row r="4">
      <c r="B4" s="18" t="inlineStr"/>
      <c r="C4" s="4" t="inlineStr">
        <is>
          <t>Month 1</t>
        </is>
      </c>
      <c r="D4" s="4" t="inlineStr">
        <is>
          <t>Month 2</t>
        </is>
      </c>
      <c r="E4" s="4" t="inlineStr">
        <is>
          <t>Month 3</t>
        </is>
      </c>
      <c r="F4" s="4" t="inlineStr">
        <is>
          <t>Month 4</t>
        </is>
      </c>
      <c r="G4" s="4" t="inlineStr">
        <is>
          <t>Month 5</t>
        </is>
      </c>
      <c r="H4" s="4" t="inlineStr">
        <is>
          <t>Month 6</t>
        </is>
      </c>
      <c r="I4" s="4" t="inlineStr">
        <is>
          <t>Month 7</t>
        </is>
      </c>
      <c r="J4" s="4" t="inlineStr">
        <is>
          <t>Month 8</t>
        </is>
      </c>
      <c r="K4" s="4" t="inlineStr">
        <is>
          <t>Month 9</t>
        </is>
      </c>
      <c r="L4" s="4" t="inlineStr">
        <is>
          <t>Month 10</t>
        </is>
      </c>
      <c r="M4" s="4" t="inlineStr">
        <is>
          <t>Month 11</t>
        </is>
      </c>
      <c r="N4" s="4" t="inlineStr">
        <is>
          <t>Month 12</t>
        </is>
      </c>
      <c r="O4" s="4" t="inlineStr">
        <is>
          <t>Month 13</t>
        </is>
      </c>
      <c r="P4" s="4" t="inlineStr">
        <is>
          <t>Month 14</t>
        </is>
      </c>
      <c r="Q4" s="4" t="inlineStr">
        <is>
          <t>Month 15</t>
        </is>
      </c>
      <c r="R4" s="4" t="inlineStr">
        <is>
          <t>Month 16</t>
        </is>
      </c>
      <c r="S4" s="4" t="inlineStr">
        <is>
          <t>Month 17</t>
        </is>
      </c>
      <c r="T4" s="4" t="inlineStr">
        <is>
          <t>Month 18</t>
        </is>
      </c>
      <c r="U4" s="4" t="inlineStr">
        <is>
          <t>Month 19</t>
        </is>
      </c>
      <c r="V4" s="4" t="inlineStr">
        <is>
          <t>Month 20</t>
        </is>
      </c>
      <c r="W4" s="4" t="inlineStr">
        <is>
          <t>Month 21</t>
        </is>
      </c>
      <c r="X4" s="4" t="inlineStr">
        <is>
          <t>Month 22</t>
        </is>
      </c>
      <c r="Y4" s="4" t="inlineStr">
        <is>
          <t>Month 23</t>
        </is>
      </c>
      <c r="Z4" s="4" t="inlineStr">
        <is>
          <t>Month 24</t>
        </is>
      </c>
    </row>
    <row r="6">
      <c r="B6" s="3" t="inlineStr">
        <is>
          <t>PER-CHARM REVENUE SPLIT — HYBRID METHOD</t>
        </is>
      </c>
      <c r="C6" s="4" t="inlineStr">
        <is>
          <t>10-Year</t>
        </is>
      </c>
      <c r="D6" s="4" t="inlineStr">
        <is>
          <t>15-Year</t>
        </is>
      </c>
      <c r="E6" s="4" t="inlineStr">
        <is>
          <t>Perpetual</t>
        </is>
      </c>
      <c r="F6" s="10" t="inlineStr">
        <is>
          <t>Lifetime months:</t>
        </is>
      </c>
      <c r="G6" s="12" t="n">
        <v>120</v>
      </c>
      <c r="H6" s="12" t="n">
        <v>180</v>
      </c>
      <c r="I6" s="12" t="n">
        <v>360</v>
      </c>
    </row>
    <row r="7">
      <c r="B7" s="5" t="inlineStr">
        <is>
          <t>Sale Price</t>
        </is>
      </c>
      <c r="C7" s="26">
        <f>Assumptions!C6</f>
        <v/>
      </c>
      <c r="D7" s="26">
        <f>Assumptions!C7</f>
        <v/>
      </c>
      <c r="E7" s="26">
        <f>Assumptions!C8</f>
        <v/>
      </c>
    </row>
    <row r="8">
      <c r="B8" s="5" t="inlineStr">
        <is>
          <t>Upfront Costs (COGS + ship + processing + setup)</t>
        </is>
      </c>
      <c r="C8" s="26">
        <f>Assumptions!D6+Assumptions!C86+C7*Assumptions!C87+'Per-Charm Costs'!C24</f>
        <v/>
      </c>
      <c r="D8" s="26">
        <f>Assumptions!D7+Assumptions!C86+D7*Assumptions!C87+'Per-Charm Costs'!C24</f>
        <v/>
      </c>
      <c r="E8" s="26">
        <f>Assumptions!D8+Assumptions!C86+E7*Assumptions!C87+'Per-Charm Costs'!C24</f>
        <v/>
      </c>
    </row>
    <row r="9">
      <c r="B9" s="12" t="inlineStr">
        <is>
          <t>Hybrid: Revenue Recognized at Sale</t>
        </is>
      </c>
      <c r="C9" s="7">
        <f>C8</f>
        <v/>
      </c>
      <c r="D9" s="7">
        <f>D8</f>
        <v/>
      </c>
      <c r="E9" s="7">
        <f>E8</f>
        <v/>
      </c>
      <c r="F9" s="10" t="inlineStr">
        <is>
          <t>Covers COGS + fulfillment + payment fee + setup hosting</t>
        </is>
      </c>
    </row>
    <row r="10">
      <c r="B10" s="57" t="inlineStr">
        <is>
          <t>Hybrid: Deferred Revenue (to escrow)</t>
        </is>
      </c>
      <c r="C10" s="6">
        <f>C7-C9</f>
        <v/>
      </c>
      <c r="D10" s="6">
        <f>D7-D9</f>
        <v/>
      </c>
      <c r="E10" s="6">
        <f>E7-E9</f>
        <v/>
      </c>
      <c r="F10" s="10" t="inlineStr">
        <is>
          <t>Goes to escrow / deferred revenue liability on balance sheet</t>
        </is>
      </c>
    </row>
    <row r="11">
      <c r="B11" s="12" t="inlineStr">
        <is>
          <t>Hybrid: Monthly Recognition from Deferred</t>
        </is>
      </c>
      <c r="C11" s="53">
        <f>C10/G6</f>
        <v/>
      </c>
      <c r="D11" s="53">
        <f>D10/H6</f>
        <v/>
      </c>
      <c r="E11" s="53">
        <f>E10/I6</f>
        <v/>
      </c>
      <c r="F11" s="10" t="inlineStr">
        <is>
          <t>Deferred portion ÷ lifetime months</t>
        </is>
      </c>
    </row>
    <row r="12">
      <c r="B12" s="58" t="inlineStr">
        <is>
          <t>Straight-Line: Monthly Recognition (all deferred)</t>
        </is>
      </c>
      <c r="C12" s="59">
        <f>C7/G6</f>
        <v/>
      </c>
      <c r="D12" s="59">
        <f>D7/H6</f>
        <v/>
      </c>
      <c r="E12" s="59">
        <f>E7/I6</f>
        <v/>
      </c>
      <c r="F12" s="10" t="inlineStr">
        <is>
          <t>Full price ÷ lifetime months — most conservative</t>
        </is>
      </c>
    </row>
    <row r="14">
      <c r="B14" s="3" t="inlineStr">
        <is>
          <t>CASH COLLECTED (Point of Sale)</t>
        </is>
      </c>
    </row>
    <row r="15">
      <c r="B15" s="5" t="inlineStr">
        <is>
          <t>10-Year Charms — Cumulative Sold</t>
        </is>
      </c>
      <c r="C15" s="19">
        <f>'24-Month Projections'!C6</f>
        <v/>
      </c>
      <c r="D15" s="19">
        <f>C15+'24-Month Projections'!D6</f>
        <v/>
      </c>
      <c r="E15" s="19">
        <f>D15+'24-Month Projections'!E6</f>
        <v/>
      </c>
      <c r="F15" s="19">
        <f>E15+'24-Month Projections'!F6</f>
        <v/>
      </c>
      <c r="G15" s="19">
        <f>F15+'24-Month Projections'!G6</f>
        <v/>
      </c>
      <c r="H15" s="19">
        <f>G15+'24-Month Projections'!H6</f>
        <v/>
      </c>
      <c r="I15" s="19">
        <f>H15+'24-Month Projections'!I6</f>
        <v/>
      </c>
      <c r="J15" s="19">
        <f>I15+'24-Month Projections'!J6</f>
        <v/>
      </c>
      <c r="K15" s="19">
        <f>J15+'24-Month Projections'!K6</f>
        <v/>
      </c>
      <c r="L15" s="19">
        <f>K15+'24-Month Projections'!L6</f>
        <v/>
      </c>
      <c r="M15" s="19">
        <f>L15+'24-Month Projections'!M6</f>
        <v/>
      </c>
      <c r="N15" s="19">
        <f>M15+'24-Month Projections'!N6</f>
        <v/>
      </c>
      <c r="O15" s="19">
        <f>N15+'24-Month Projections'!O6</f>
        <v/>
      </c>
      <c r="P15" s="19">
        <f>O15+'24-Month Projections'!P6</f>
        <v/>
      </c>
      <c r="Q15" s="19">
        <f>P15+'24-Month Projections'!Q6</f>
        <v/>
      </c>
      <c r="R15" s="19">
        <f>Q15+'24-Month Projections'!R6</f>
        <v/>
      </c>
      <c r="S15" s="19">
        <f>R15+'24-Month Projections'!S6</f>
        <v/>
      </c>
      <c r="T15" s="19">
        <f>S15+'24-Month Projections'!T6</f>
        <v/>
      </c>
      <c r="U15" s="19">
        <f>T15+'24-Month Projections'!U6</f>
        <v/>
      </c>
      <c r="V15" s="19">
        <f>U15+'24-Month Projections'!V6</f>
        <v/>
      </c>
      <c r="W15" s="19">
        <f>V15+'24-Month Projections'!W6</f>
        <v/>
      </c>
      <c r="X15" s="19">
        <f>W15+'24-Month Projections'!X6</f>
        <v/>
      </c>
      <c r="Y15" s="19">
        <f>X15+'24-Month Projections'!Y6</f>
        <v/>
      </c>
      <c r="Z15" s="19">
        <f>Y15+'24-Month Projections'!Z6</f>
        <v/>
      </c>
    </row>
    <row r="16">
      <c r="B16" s="5" t="inlineStr">
        <is>
          <t>15-Year Charms — Cumulative Sold</t>
        </is>
      </c>
      <c r="C16" s="19">
        <f>'24-Month Projections'!C7</f>
        <v/>
      </c>
      <c r="D16" s="19">
        <f>C16+'24-Month Projections'!D7</f>
        <v/>
      </c>
      <c r="E16" s="19">
        <f>D16+'24-Month Projections'!E7</f>
        <v/>
      </c>
      <c r="F16" s="19">
        <f>E16+'24-Month Projections'!F7</f>
        <v/>
      </c>
      <c r="G16" s="19">
        <f>F16+'24-Month Projections'!G7</f>
        <v/>
      </c>
      <c r="H16" s="19">
        <f>G16+'24-Month Projections'!H7</f>
        <v/>
      </c>
      <c r="I16" s="19">
        <f>H16+'24-Month Projections'!I7</f>
        <v/>
      </c>
      <c r="J16" s="19">
        <f>I16+'24-Month Projections'!J7</f>
        <v/>
      </c>
      <c r="K16" s="19">
        <f>J16+'24-Month Projections'!K7</f>
        <v/>
      </c>
      <c r="L16" s="19">
        <f>K16+'24-Month Projections'!L7</f>
        <v/>
      </c>
      <c r="M16" s="19">
        <f>L16+'24-Month Projections'!M7</f>
        <v/>
      </c>
      <c r="N16" s="19">
        <f>M16+'24-Month Projections'!N7</f>
        <v/>
      </c>
      <c r="O16" s="19">
        <f>N16+'24-Month Projections'!O7</f>
        <v/>
      </c>
      <c r="P16" s="19">
        <f>O16+'24-Month Projections'!P7</f>
        <v/>
      </c>
      <c r="Q16" s="19">
        <f>P16+'24-Month Projections'!Q7</f>
        <v/>
      </c>
      <c r="R16" s="19">
        <f>Q16+'24-Month Projections'!R7</f>
        <v/>
      </c>
      <c r="S16" s="19">
        <f>R16+'24-Month Projections'!S7</f>
        <v/>
      </c>
      <c r="T16" s="19">
        <f>S16+'24-Month Projections'!T7</f>
        <v/>
      </c>
      <c r="U16" s="19">
        <f>T16+'24-Month Projections'!U7</f>
        <v/>
      </c>
      <c r="V16" s="19">
        <f>U16+'24-Month Projections'!V7</f>
        <v/>
      </c>
      <c r="W16" s="19">
        <f>V16+'24-Month Projections'!W7</f>
        <v/>
      </c>
      <c r="X16" s="19">
        <f>W16+'24-Month Projections'!X7</f>
        <v/>
      </c>
      <c r="Y16" s="19">
        <f>X16+'24-Month Projections'!Y7</f>
        <v/>
      </c>
      <c r="Z16" s="19">
        <f>Y16+'24-Month Projections'!Z7</f>
        <v/>
      </c>
    </row>
    <row r="17">
      <c r="B17" s="5" t="inlineStr">
        <is>
          <t>Perpetual Charms — Cumulative Sold</t>
        </is>
      </c>
      <c r="C17" s="19">
        <f>'24-Month Projections'!C8</f>
        <v/>
      </c>
      <c r="D17" s="19">
        <f>C17+'24-Month Projections'!D8</f>
        <v/>
      </c>
      <c r="E17" s="19">
        <f>D17+'24-Month Projections'!E8</f>
        <v/>
      </c>
      <c r="F17" s="19">
        <f>E17+'24-Month Projections'!F8</f>
        <v/>
      </c>
      <c r="G17" s="19">
        <f>F17+'24-Month Projections'!G8</f>
        <v/>
      </c>
      <c r="H17" s="19">
        <f>G17+'24-Month Projections'!H8</f>
        <v/>
      </c>
      <c r="I17" s="19">
        <f>H17+'24-Month Projections'!I8</f>
        <v/>
      </c>
      <c r="J17" s="19">
        <f>I17+'24-Month Projections'!J8</f>
        <v/>
      </c>
      <c r="K17" s="19">
        <f>J17+'24-Month Projections'!K8</f>
        <v/>
      </c>
      <c r="L17" s="19">
        <f>K17+'24-Month Projections'!L8</f>
        <v/>
      </c>
      <c r="M17" s="19">
        <f>L17+'24-Month Projections'!M8</f>
        <v/>
      </c>
      <c r="N17" s="19">
        <f>M17+'24-Month Projections'!N8</f>
        <v/>
      </c>
      <c r="O17" s="19">
        <f>N17+'24-Month Projections'!O8</f>
        <v/>
      </c>
      <c r="P17" s="19">
        <f>O17+'24-Month Projections'!P8</f>
        <v/>
      </c>
      <c r="Q17" s="19">
        <f>P17+'24-Month Projections'!Q8</f>
        <v/>
      </c>
      <c r="R17" s="19">
        <f>Q17+'24-Month Projections'!R8</f>
        <v/>
      </c>
      <c r="S17" s="19">
        <f>R17+'24-Month Projections'!S8</f>
        <v/>
      </c>
      <c r="T17" s="19">
        <f>S17+'24-Month Projections'!T8</f>
        <v/>
      </c>
      <c r="U17" s="19">
        <f>T17+'24-Month Projections'!U8</f>
        <v/>
      </c>
      <c r="V17" s="19">
        <f>U17+'24-Month Projections'!V8</f>
        <v/>
      </c>
      <c r="W17" s="19">
        <f>V17+'24-Month Projections'!W8</f>
        <v/>
      </c>
      <c r="X17" s="19">
        <f>W17+'24-Month Projections'!X8</f>
        <v/>
      </c>
      <c r="Y17" s="19">
        <f>X17+'24-Month Projections'!Y8</f>
        <v/>
      </c>
      <c r="Z17" s="19">
        <f>Y17+'24-Month Projections'!Z8</f>
        <v/>
      </c>
    </row>
    <row r="18">
      <c r="B18" s="12" t="inlineStr">
        <is>
          <t>Charm Cash Collected (month)</t>
        </is>
      </c>
      <c r="C18" s="35">
        <f>'24-Month Projections'!C6*$C$7+'24-Month Projections'!C7*$D$7+'24-Month Projections'!C8*$E$7</f>
        <v/>
      </c>
      <c r="D18" s="35">
        <f>'24-Month Projections'!D6*$C$7+'24-Month Projections'!D7*$D$7+'24-Month Projections'!D8*$E$7</f>
        <v/>
      </c>
      <c r="E18" s="35">
        <f>'24-Month Projections'!E6*$C$7+'24-Month Projections'!E7*$D$7+'24-Month Projections'!E8*$E$7</f>
        <v/>
      </c>
      <c r="F18" s="35">
        <f>'24-Month Projections'!F6*$C$7+'24-Month Projections'!F7*$D$7+'24-Month Projections'!F8*$E$7</f>
        <v/>
      </c>
      <c r="G18" s="35">
        <f>'24-Month Projections'!G6*$C$7+'24-Month Projections'!G7*$D$7+'24-Month Projections'!G8*$E$7</f>
        <v/>
      </c>
      <c r="H18" s="35">
        <f>'24-Month Projections'!H6*$C$7+'24-Month Projections'!H7*$D$7+'24-Month Projections'!H8*$E$7</f>
        <v/>
      </c>
      <c r="I18" s="35">
        <f>'24-Month Projections'!I6*$C$7+'24-Month Projections'!I7*$D$7+'24-Month Projections'!I8*$E$7</f>
        <v/>
      </c>
      <c r="J18" s="35">
        <f>'24-Month Projections'!J6*$C$7+'24-Month Projections'!J7*$D$7+'24-Month Projections'!J8*$E$7</f>
        <v/>
      </c>
      <c r="K18" s="35">
        <f>'24-Month Projections'!K6*$C$7+'24-Month Projections'!K7*$D$7+'24-Month Projections'!K8*$E$7</f>
        <v/>
      </c>
      <c r="L18" s="35">
        <f>'24-Month Projections'!L6*$C$7+'24-Month Projections'!L7*$D$7+'24-Month Projections'!L8*$E$7</f>
        <v/>
      </c>
      <c r="M18" s="35">
        <f>'24-Month Projections'!M6*$C$7+'24-Month Projections'!M7*$D$7+'24-Month Projections'!M8*$E$7</f>
        <v/>
      </c>
      <c r="N18" s="35">
        <f>'24-Month Projections'!N6*$C$7+'24-Month Projections'!N7*$D$7+'24-Month Projections'!N8*$E$7</f>
        <v/>
      </c>
      <c r="O18" s="35">
        <f>'24-Month Projections'!O6*$C$7+'24-Month Projections'!O7*$D$7+'24-Month Projections'!O8*$E$7</f>
        <v/>
      </c>
      <c r="P18" s="35">
        <f>'24-Month Projections'!P6*$C$7+'24-Month Projections'!P7*$D$7+'24-Month Projections'!P8*$E$7</f>
        <v/>
      </c>
      <c r="Q18" s="35">
        <f>'24-Month Projections'!Q6*$C$7+'24-Month Projections'!Q7*$D$7+'24-Month Projections'!Q8*$E$7</f>
        <v/>
      </c>
      <c r="R18" s="35">
        <f>'24-Month Projections'!R6*$C$7+'24-Month Projections'!R7*$D$7+'24-Month Projections'!R8*$E$7</f>
        <v/>
      </c>
      <c r="S18" s="35">
        <f>'24-Month Projections'!S6*$C$7+'24-Month Projections'!S7*$D$7+'24-Month Projections'!S8*$E$7</f>
        <v/>
      </c>
      <c r="T18" s="35">
        <f>'24-Month Projections'!T6*$C$7+'24-Month Projections'!T7*$D$7+'24-Month Projections'!T8*$E$7</f>
        <v/>
      </c>
      <c r="U18" s="35">
        <f>'24-Month Projections'!U6*$C$7+'24-Month Projections'!U7*$D$7+'24-Month Projections'!U8*$E$7</f>
        <v/>
      </c>
      <c r="V18" s="35">
        <f>'24-Month Projections'!V6*$C$7+'24-Month Projections'!V7*$D$7+'24-Month Projections'!V8*$E$7</f>
        <v/>
      </c>
      <c r="W18" s="35">
        <f>'24-Month Projections'!W6*$C$7+'24-Month Projections'!W7*$D$7+'24-Month Projections'!W8*$E$7</f>
        <v/>
      </c>
      <c r="X18" s="35">
        <f>'24-Month Projections'!X6*$C$7+'24-Month Projections'!X7*$D$7+'24-Month Projections'!X8*$E$7</f>
        <v/>
      </c>
      <c r="Y18" s="35">
        <f>'24-Month Projections'!Y6*$C$7+'24-Month Projections'!Y7*$D$7+'24-Month Projections'!Y8*$E$7</f>
        <v/>
      </c>
      <c r="Z18" s="35">
        <f>'24-Month Projections'!Z6*$C$7+'24-Month Projections'!Z7*$D$7+'24-Month Projections'!Z8*$E$7</f>
        <v/>
      </c>
    </row>
    <row r="19">
      <c r="B19" s="5" t="inlineStr">
        <is>
          <t>Upsell Cash Collected (recognized immediately)</t>
        </is>
      </c>
      <c r="C19" s="29">
        <f>'24-Month Projections'!C49+'24-Month Projections'!C50+'24-Month Projections'!C51</f>
        <v/>
      </c>
      <c r="D19" s="29">
        <f>'24-Month Projections'!D49+'24-Month Projections'!D50+'24-Month Projections'!D51</f>
        <v/>
      </c>
      <c r="E19" s="29">
        <f>'24-Month Projections'!E49+'24-Month Projections'!E50+'24-Month Projections'!E51</f>
        <v/>
      </c>
      <c r="F19" s="29">
        <f>'24-Month Projections'!F49+'24-Month Projections'!F50+'24-Month Projections'!F51</f>
        <v/>
      </c>
      <c r="G19" s="29">
        <f>'24-Month Projections'!G49+'24-Month Projections'!G50+'24-Month Projections'!G51</f>
        <v/>
      </c>
      <c r="H19" s="29">
        <f>'24-Month Projections'!H49+'24-Month Projections'!H50+'24-Month Projections'!H51</f>
        <v/>
      </c>
      <c r="I19" s="29">
        <f>'24-Month Projections'!I49+'24-Month Projections'!I50+'24-Month Projections'!I51</f>
        <v/>
      </c>
      <c r="J19" s="29">
        <f>'24-Month Projections'!J49+'24-Month Projections'!J50+'24-Month Projections'!J51</f>
        <v/>
      </c>
      <c r="K19" s="29">
        <f>'24-Month Projections'!K49+'24-Month Projections'!K50+'24-Month Projections'!K51</f>
        <v/>
      </c>
      <c r="L19" s="29">
        <f>'24-Month Projections'!L49+'24-Month Projections'!L50+'24-Month Projections'!L51</f>
        <v/>
      </c>
      <c r="M19" s="29">
        <f>'24-Month Projections'!M49+'24-Month Projections'!M50+'24-Month Projections'!M51</f>
        <v/>
      </c>
      <c r="N19" s="29">
        <f>'24-Month Projections'!N49+'24-Month Projections'!N50+'24-Month Projections'!N51</f>
        <v/>
      </c>
      <c r="O19" s="29">
        <f>'24-Month Projections'!O49+'24-Month Projections'!O50+'24-Month Projections'!O51</f>
        <v/>
      </c>
      <c r="P19" s="29">
        <f>'24-Month Projections'!P49+'24-Month Projections'!P50+'24-Month Projections'!P51</f>
        <v/>
      </c>
      <c r="Q19" s="29">
        <f>'24-Month Projections'!Q49+'24-Month Projections'!Q50+'24-Month Projections'!Q51</f>
        <v/>
      </c>
      <c r="R19" s="29">
        <f>'24-Month Projections'!R49+'24-Month Projections'!R50+'24-Month Projections'!R51</f>
        <v/>
      </c>
      <c r="S19" s="29">
        <f>'24-Month Projections'!S49+'24-Month Projections'!S50+'24-Month Projections'!S51</f>
        <v/>
      </c>
      <c r="T19" s="29">
        <f>'24-Month Projections'!T49+'24-Month Projections'!T50+'24-Month Projections'!T51</f>
        <v/>
      </c>
      <c r="U19" s="29">
        <f>'24-Month Projections'!U49+'24-Month Projections'!U50+'24-Month Projections'!U51</f>
        <v/>
      </c>
      <c r="V19" s="29">
        <f>'24-Month Projections'!V49+'24-Month Projections'!V50+'24-Month Projections'!V51</f>
        <v/>
      </c>
      <c r="W19" s="29">
        <f>'24-Month Projections'!W49+'24-Month Projections'!W50+'24-Month Projections'!W51</f>
        <v/>
      </c>
      <c r="X19" s="29">
        <f>'24-Month Projections'!X49+'24-Month Projections'!X50+'24-Month Projections'!X51</f>
        <v/>
      </c>
      <c r="Y19" s="29">
        <f>'24-Month Projections'!Y49+'24-Month Projections'!Y50+'24-Month Projections'!Y51</f>
        <v/>
      </c>
      <c r="Z19" s="29">
        <f>'24-Month Projections'!Z49+'24-Month Projections'!Z50+'24-Month Projections'!Z51</f>
        <v/>
      </c>
    </row>
    <row r="20">
      <c r="B20" s="30" t="inlineStr">
        <is>
          <t>TOTAL CASH COLLECTED</t>
        </is>
      </c>
      <c r="C20" s="31">
        <f>C18+C19</f>
        <v/>
      </c>
      <c r="D20" s="31">
        <f>D18+D19</f>
        <v/>
      </c>
      <c r="E20" s="31">
        <f>E18+E19</f>
        <v/>
      </c>
      <c r="F20" s="31">
        <f>F18+F19</f>
        <v/>
      </c>
      <c r="G20" s="31">
        <f>G18+G19</f>
        <v/>
      </c>
      <c r="H20" s="31">
        <f>H18+H19</f>
        <v/>
      </c>
      <c r="I20" s="31">
        <f>I18+I19</f>
        <v/>
      </c>
      <c r="J20" s="31">
        <f>J18+J19</f>
        <v/>
      </c>
      <c r="K20" s="31">
        <f>K18+K19</f>
        <v/>
      </c>
      <c r="L20" s="31">
        <f>L18+L19</f>
        <v/>
      </c>
      <c r="M20" s="31">
        <f>M18+M19</f>
        <v/>
      </c>
      <c r="N20" s="31">
        <f>N18+N19</f>
        <v/>
      </c>
      <c r="O20" s="31">
        <f>O18+O19</f>
        <v/>
      </c>
      <c r="P20" s="31">
        <f>P18+P19</f>
        <v/>
      </c>
      <c r="Q20" s="31">
        <f>Q18+Q19</f>
        <v/>
      </c>
      <c r="R20" s="31">
        <f>R18+R19</f>
        <v/>
      </c>
      <c r="S20" s="31">
        <f>S18+S19</f>
        <v/>
      </c>
      <c r="T20" s="31">
        <f>T18+T19</f>
        <v/>
      </c>
      <c r="U20" s="31">
        <f>U18+U19</f>
        <v/>
      </c>
      <c r="V20" s="31">
        <f>V18+V19</f>
        <v/>
      </c>
      <c r="W20" s="31">
        <f>W18+W19</f>
        <v/>
      </c>
      <c r="X20" s="31">
        <f>X18+X19</f>
        <v/>
      </c>
      <c r="Y20" s="31">
        <f>Y18+Y19</f>
        <v/>
      </c>
      <c r="Z20" s="31">
        <f>Z18+Z19</f>
        <v/>
      </c>
    </row>
    <row r="22">
      <c r="B22" s="3" t="inlineStr">
        <is>
          <t>HYBRID METHOD — Recognized Revenue</t>
        </is>
      </c>
      <c r="F22" s="2" t="inlineStr">
        <is>
          <t>COGS portion at sale + deferred over lifetime</t>
        </is>
      </c>
    </row>
    <row r="23">
      <c r="B23" s="5" t="inlineStr">
        <is>
          <t xml:space="preserve">  Upfront Recognition (new sales x upfront portion)</t>
        </is>
      </c>
      <c r="C23" s="29">
        <f>'24-Month Projections'!C6*$C$9+'24-Month Projections'!C7*$D$9+'24-Month Projections'!C8*$E$9</f>
        <v/>
      </c>
      <c r="D23" s="29">
        <f>'24-Month Projections'!D6*$C$9+'24-Month Projections'!D7*$D$9+'24-Month Projections'!D8*$E$9</f>
        <v/>
      </c>
      <c r="E23" s="29">
        <f>'24-Month Projections'!E6*$C$9+'24-Month Projections'!E7*$D$9+'24-Month Projections'!E8*$E$9</f>
        <v/>
      </c>
      <c r="F23" s="29">
        <f>'24-Month Projections'!F6*$C$9+'24-Month Projections'!F7*$D$9+'24-Month Projections'!F8*$E$9</f>
        <v/>
      </c>
      <c r="G23" s="29">
        <f>'24-Month Projections'!G6*$C$9+'24-Month Projections'!G7*$D$9+'24-Month Projections'!G8*$E$9</f>
        <v/>
      </c>
      <c r="H23" s="29">
        <f>'24-Month Projections'!H6*$C$9+'24-Month Projections'!H7*$D$9+'24-Month Projections'!H8*$E$9</f>
        <v/>
      </c>
      <c r="I23" s="29">
        <f>'24-Month Projections'!I6*$C$9+'24-Month Projections'!I7*$D$9+'24-Month Projections'!I8*$E$9</f>
        <v/>
      </c>
      <c r="J23" s="29">
        <f>'24-Month Projections'!J6*$C$9+'24-Month Projections'!J7*$D$9+'24-Month Projections'!J8*$E$9</f>
        <v/>
      </c>
      <c r="K23" s="29">
        <f>'24-Month Projections'!K6*$C$9+'24-Month Projections'!K7*$D$9+'24-Month Projections'!K8*$E$9</f>
        <v/>
      </c>
      <c r="L23" s="29">
        <f>'24-Month Projections'!L6*$C$9+'24-Month Projections'!L7*$D$9+'24-Month Projections'!L8*$E$9</f>
        <v/>
      </c>
      <c r="M23" s="29">
        <f>'24-Month Projections'!M6*$C$9+'24-Month Projections'!M7*$D$9+'24-Month Projections'!M8*$E$9</f>
        <v/>
      </c>
      <c r="N23" s="29">
        <f>'24-Month Projections'!N6*$C$9+'24-Month Projections'!N7*$D$9+'24-Month Projections'!N8*$E$9</f>
        <v/>
      </c>
      <c r="O23" s="29">
        <f>'24-Month Projections'!O6*$C$9+'24-Month Projections'!O7*$D$9+'24-Month Projections'!O8*$E$9</f>
        <v/>
      </c>
      <c r="P23" s="29">
        <f>'24-Month Projections'!P6*$C$9+'24-Month Projections'!P7*$D$9+'24-Month Projections'!P8*$E$9</f>
        <v/>
      </c>
      <c r="Q23" s="29">
        <f>'24-Month Projections'!Q6*$C$9+'24-Month Projections'!Q7*$D$9+'24-Month Projections'!Q8*$E$9</f>
        <v/>
      </c>
      <c r="R23" s="29">
        <f>'24-Month Projections'!R6*$C$9+'24-Month Projections'!R7*$D$9+'24-Month Projections'!R8*$E$9</f>
        <v/>
      </c>
      <c r="S23" s="29">
        <f>'24-Month Projections'!S6*$C$9+'24-Month Projections'!S7*$D$9+'24-Month Projections'!S8*$E$9</f>
        <v/>
      </c>
      <c r="T23" s="29">
        <f>'24-Month Projections'!T6*$C$9+'24-Month Projections'!T7*$D$9+'24-Month Projections'!T8*$E$9</f>
        <v/>
      </c>
      <c r="U23" s="29">
        <f>'24-Month Projections'!U6*$C$9+'24-Month Projections'!U7*$D$9+'24-Month Projections'!U8*$E$9</f>
        <v/>
      </c>
      <c r="V23" s="29">
        <f>'24-Month Projections'!V6*$C$9+'24-Month Projections'!V7*$D$9+'24-Month Projections'!V8*$E$9</f>
        <v/>
      </c>
      <c r="W23" s="29">
        <f>'24-Month Projections'!W6*$C$9+'24-Month Projections'!W7*$D$9+'24-Month Projections'!W8*$E$9</f>
        <v/>
      </c>
      <c r="X23" s="29">
        <f>'24-Month Projections'!X6*$C$9+'24-Month Projections'!X7*$D$9+'24-Month Projections'!X8*$E$9</f>
        <v/>
      </c>
      <c r="Y23" s="29">
        <f>'24-Month Projections'!Y6*$C$9+'24-Month Projections'!Y7*$D$9+'24-Month Projections'!Y8*$E$9</f>
        <v/>
      </c>
      <c r="Z23" s="29">
        <f>'24-Month Projections'!Z6*$C$9+'24-Month Projections'!Z7*$D$9+'24-Month Projections'!Z8*$E$9</f>
        <v/>
      </c>
    </row>
    <row r="24">
      <c r="B24" s="5" t="inlineStr">
        <is>
          <t xml:space="preserve">  Deferred Recognition (cumulative charms x monthly rate)</t>
        </is>
      </c>
      <c r="C24" s="29">
        <f>C15*$C$11+C16*$D$11+C17*$E$11</f>
        <v/>
      </c>
      <c r="D24" s="29">
        <f>D15*$C$11+D16*$D$11+D17*$E$11</f>
        <v/>
      </c>
      <c r="E24" s="29">
        <f>E15*$C$11+E16*$D$11+E17*$E$11</f>
        <v/>
      </c>
      <c r="F24" s="29">
        <f>F15*$C$11+F16*$D$11+F17*$E$11</f>
        <v/>
      </c>
      <c r="G24" s="29">
        <f>G15*$C$11+G16*$D$11+G17*$E$11</f>
        <v/>
      </c>
      <c r="H24" s="29">
        <f>H15*$C$11+H16*$D$11+H17*$E$11</f>
        <v/>
      </c>
      <c r="I24" s="29">
        <f>I15*$C$11+I16*$D$11+I17*$E$11</f>
        <v/>
      </c>
      <c r="J24" s="29">
        <f>J15*$C$11+J16*$D$11+J17*$E$11</f>
        <v/>
      </c>
      <c r="K24" s="29">
        <f>K15*$C$11+K16*$D$11+K17*$E$11</f>
        <v/>
      </c>
      <c r="L24" s="29">
        <f>L15*$C$11+L16*$D$11+L17*$E$11</f>
        <v/>
      </c>
      <c r="M24" s="29">
        <f>M15*$C$11+M16*$D$11+M17*$E$11</f>
        <v/>
      </c>
      <c r="N24" s="29">
        <f>N15*$C$11+N16*$D$11+N17*$E$11</f>
        <v/>
      </c>
      <c r="O24" s="29">
        <f>O15*$C$11+O16*$D$11+O17*$E$11</f>
        <v/>
      </c>
      <c r="P24" s="29">
        <f>P15*$C$11+P16*$D$11+P17*$E$11</f>
        <v/>
      </c>
      <c r="Q24" s="29">
        <f>Q15*$C$11+Q16*$D$11+Q17*$E$11</f>
        <v/>
      </c>
      <c r="R24" s="29">
        <f>R15*$C$11+R16*$D$11+R17*$E$11</f>
        <v/>
      </c>
      <c r="S24" s="29">
        <f>S15*$C$11+S16*$D$11+S17*$E$11</f>
        <v/>
      </c>
      <c r="T24" s="29">
        <f>T15*$C$11+T16*$D$11+T17*$E$11</f>
        <v/>
      </c>
      <c r="U24" s="29">
        <f>U15*$C$11+U16*$D$11+U17*$E$11</f>
        <v/>
      </c>
      <c r="V24" s="29">
        <f>V15*$C$11+V16*$D$11+V17*$E$11</f>
        <v/>
      </c>
      <c r="W24" s="29">
        <f>W15*$C$11+W16*$D$11+W17*$E$11</f>
        <v/>
      </c>
      <c r="X24" s="29">
        <f>X15*$C$11+X16*$D$11+X17*$E$11</f>
        <v/>
      </c>
      <c r="Y24" s="29">
        <f>Y15*$C$11+Y16*$D$11+Y17*$E$11</f>
        <v/>
      </c>
      <c r="Z24" s="29">
        <f>Z15*$C$11+Z16*$D$11+Z17*$E$11</f>
        <v/>
      </c>
    </row>
    <row r="25">
      <c r="B25" s="5" t="inlineStr">
        <is>
          <t xml:space="preserve">  Upsell Revenue (immediate recognition)</t>
        </is>
      </c>
      <c r="C25" s="29">
        <f>C19</f>
        <v/>
      </c>
      <c r="D25" s="29">
        <f>D19</f>
        <v/>
      </c>
      <c r="E25" s="29">
        <f>E19</f>
        <v/>
      </c>
      <c r="F25" s="29">
        <f>F19</f>
        <v/>
      </c>
      <c r="G25" s="29">
        <f>G19</f>
        <v/>
      </c>
      <c r="H25" s="29">
        <f>H19</f>
        <v/>
      </c>
      <c r="I25" s="29">
        <f>I19</f>
        <v/>
      </c>
      <c r="J25" s="29">
        <f>J19</f>
        <v/>
      </c>
      <c r="K25" s="29">
        <f>K19</f>
        <v/>
      </c>
      <c r="L25" s="29">
        <f>L19</f>
        <v/>
      </c>
      <c r="M25" s="29">
        <f>M19</f>
        <v/>
      </c>
      <c r="N25" s="29">
        <f>N19</f>
        <v/>
      </c>
      <c r="O25" s="29">
        <f>O19</f>
        <v/>
      </c>
      <c r="P25" s="29">
        <f>P19</f>
        <v/>
      </c>
      <c r="Q25" s="29">
        <f>Q19</f>
        <v/>
      </c>
      <c r="R25" s="29">
        <f>R19</f>
        <v/>
      </c>
      <c r="S25" s="29">
        <f>S19</f>
        <v/>
      </c>
      <c r="T25" s="29">
        <f>T19</f>
        <v/>
      </c>
      <c r="U25" s="29">
        <f>U19</f>
        <v/>
      </c>
      <c r="V25" s="29">
        <f>V19</f>
        <v/>
      </c>
      <c r="W25" s="29">
        <f>W19</f>
        <v/>
      </c>
      <c r="X25" s="29">
        <f>X19</f>
        <v/>
      </c>
      <c r="Y25" s="29">
        <f>Y19</f>
        <v/>
      </c>
      <c r="Z25" s="29">
        <f>Z19</f>
        <v/>
      </c>
    </row>
    <row r="26">
      <c r="B26" s="57" t="inlineStr">
        <is>
          <t>HYBRID RECOGNIZED REVENUE</t>
        </is>
      </c>
      <c r="C26" s="17">
        <f>C23+C24+C25</f>
        <v/>
      </c>
      <c r="D26" s="17">
        <f>D23+D24+D25</f>
        <v/>
      </c>
      <c r="E26" s="17">
        <f>E23+E24+E25</f>
        <v/>
      </c>
      <c r="F26" s="17">
        <f>F23+F24+F25</f>
        <v/>
      </c>
      <c r="G26" s="17">
        <f>G23+G24+G25</f>
        <v/>
      </c>
      <c r="H26" s="17">
        <f>H23+H24+H25</f>
        <v/>
      </c>
      <c r="I26" s="17">
        <f>I23+I24+I25</f>
        <v/>
      </c>
      <c r="J26" s="17">
        <f>J23+J24+J25</f>
        <v/>
      </c>
      <c r="K26" s="17">
        <f>K23+K24+K25</f>
        <v/>
      </c>
      <c r="L26" s="17">
        <f>L23+L24+L25</f>
        <v/>
      </c>
      <c r="M26" s="17">
        <f>M23+M24+M25</f>
        <v/>
      </c>
      <c r="N26" s="17">
        <f>N23+N24+N25</f>
        <v/>
      </c>
      <c r="O26" s="17">
        <f>O23+O24+O25</f>
        <v/>
      </c>
      <c r="P26" s="17">
        <f>P23+P24+P25</f>
        <v/>
      </c>
      <c r="Q26" s="17">
        <f>Q23+Q24+Q25</f>
        <v/>
      </c>
      <c r="R26" s="17">
        <f>R23+R24+R25</f>
        <v/>
      </c>
      <c r="S26" s="17">
        <f>S23+S24+S25</f>
        <v/>
      </c>
      <c r="T26" s="17">
        <f>T23+T24+T25</f>
        <v/>
      </c>
      <c r="U26" s="17">
        <f>U23+U24+U25</f>
        <v/>
      </c>
      <c r="V26" s="17">
        <f>V23+V24+V25</f>
        <v/>
      </c>
      <c r="W26" s="17">
        <f>W23+W24+W25</f>
        <v/>
      </c>
      <c r="X26" s="17">
        <f>X23+X24+X25</f>
        <v/>
      </c>
      <c r="Y26" s="17">
        <f>Y23+Y24+Y25</f>
        <v/>
      </c>
      <c r="Z26" s="17">
        <f>Z23+Z24+Z25</f>
        <v/>
      </c>
    </row>
    <row r="28">
      <c r="B28" s="3" t="inlineStr">
        <is>
          <t>STRAIGHT-LINE METHOD — Recognized Revenue</t>
        </is>
      </c>
      <c r="F28" s="2" t="inlineStr">
        <is>
          <t>Full price spread evenly over charm lifetime</t>
        </is>
      </c>
    </row>
    <row r="29">
      <c r="B29" s="5" t="inlineStr">
        <is>
          <t xml:space="preserve">  Charm Revenue (cumulative x monthly rate)</t>
        </is>
      </c>
      <c r="C29" s="29">
        <f>C15*$C$12+C16*$D$12+C17*$E$12</f>
        <v/>
      </c>
      <c r="D29" s="29">
        <f>D15*$C$12+D16*$D$12+D17*$E$12</f>
        <v/>
      </c>
      <c r="E29" s="29">
        <f>E15*$C$12+E16*$D$12+E17*$E$12</f>
        <v/>
      </c>
      <c r="F29" s="29">
        <f>F15*$C$12+F16*$D$12+F17*$E$12</f>
        <v/>
      </c>
      <c r="G29" s="29">
        <f>G15*$C$12+G16*$D$12+G17*$E$12</f>
        <v/>
      </c>
      <c r="H29" s="29">
        <f>H15*$C$12+H16*$D$12+H17*$E$12</f>
        <v/>
      </c>
      <c r="I29" s="29">
        <f>I15*$C$12+I16*$D$12+I17*$E$12</f>
        <v/>
      </c>
      <c r="J29" s="29">
        <f>J15*$C$12+J16*$D$12+J17*$E$12</f>
        <v/>
      </c>
      <c r="K29" s="29">
        <f>K15*$C$12+K16*$D$12+K17*$E$12</f>
        <v/>
      </c>
      <c r="L29" s="29">
        <f>L15*$C$12+L16*$D$12+L17*$E$12</f>
        <v/>
      </c>
      <c r="M29" s="29">
        <f>M15*$C$12+M16*$D$12+M17*$E$12</f>
        <v/>
      </c>
      <c r="N29" s="29">
        <f>N15*$C$12+N16*$D$12+N17*$E$12</f>
        <v/>
      </c>
      <c r="O29" s="29">
        <f>O15*$C$12+O16*$D$12+O17*$E$12</f>
        <v/>
      </c>
      <c r="P29" s="29">
        <f>P15*$C$12+P16*$D$12+P17*$E$12</f>
        <v/>
      </c>
      <c r="Q29" s="29">
        <f>Q15*$C$12+Q16*$D$12+Q17*$E$12</f>
        <v/>
      </c>
      <c r="R29" s="29">
        <f>R15*$C$12+R16*$D$12+R17*$E$12</f>
        <v/>
      </c>
      <c r="S29" s="29">
        <f>S15*$C$12+S16*$D$12+S17*$E$12</f>
        <v/>
      </c>
      <c r="T29" s="29">
        <f>T15*$C$12+T16*$D$12+T17*$E$12</f>
        <v/>
      </c>
      <c r="U29" s="29">
        <f>U15*$C$12+U16*$D$12+U17*$E$12</f>
        <v/>
      </c>
      <c r="V29" s="29">
        <f>V15*$C$12+V16*$D$12+V17*$E$12</f>
        <v/>
      </c>
      <c r="W29" s="29">
        <f>W15*$C$12+W16*$D$12+W17*$E$12</f>
        <v/>
      </c>
      <c r="X29" s="29">
        <f>X15*$C$12+X16*$D$12+X17*$E$12</f>
        <v/>
      </c>
      <c r="Y29" s="29">
        <f>Y15*$C$12+Y16*$D$12+Y17*$E$12</f>
        <v/>
      </c>
      <c r="Z29" s="29">
        <f>Z15*$C$12+Z16*$D$12+Z17*$E$12</f>
        <v/>
      </c>
    </row>
    <row r="30">
      <c r="B30" s="5" t="inlineStr">
        <is>
          <t xml:space="preserve">  Upsell Revenue (immediate recognition)</t>
        </is>
      </c>
      <c r="C30" s="29">
        <f>C19</f>
        <v/>
      </c>
      <c r="D30" s="29">
        <f>D19</f>
        <v/>
      </c>
      <c r="E30" s="29">
        <f>E19</f>
        <v/>
      </c>
      <c r="F30" s="29">
        <f>F19</f>
        <v/>
      </c>
      <c r="G30" s="29">
        <f>G19</f>
        <v/>
      </c>
      <c r="H30" s="29">
        <f>H19</f>
        <v/>
      </c>
      <c r="I30" s="29">
        <f>I19</f>
        <v/>
      </c>
      <c r="J30" s="29">
        <f>J19</f>
        <v/>
      </c>
      <c r="K30" s="29">
        <f>K19</f>
        <v/>
      </c>
      <c r="L30" s="29">
        <f>L19</f>
        <v/>
      </c>
      <c r="M30" s="29">
        <f>M19</f>
        <v/>
      </c>
      <c r="N30" s="29">
        <f>N19</f>
        <v/>
      </c>
      <c r="O30" s="29">
        <f>O19</f>
        <v/>
      </c>
      <c r="P30" s="29">
        <f>P19</f>
        <v/>
      </c>
      <c r="Q30" s="29">
        <f>Q19</f>
        <v/>
      </c>
      <c r="R30" s="29">
        <f>R19</f>
        <v/>
      </c>
      <c r="S30" s="29">
        <f>S19</f>
        <v/>
      </c>
      <c r="T30" s="29">
        <f>T19</f>
        <v/>
      </c>
      <c r="U30" s="29">
        <f>U19</f>
        <v/>
      </c>
      <c r="V30" s="29">
        <f>V19</f>
        <v/>
      </c>
      <c r="W30" s="29">
        <f>W19</f>
        <v/>
      </c>
      <c r="X30" s="29">
        <f>X19</f>
        <v/>
      </c>
      <c r="Y30" s="29">
        <f>Y19</f>
        <v/>
      </c>
      <c r="Z30" s="29">
        <f>Z19</f>
        <v/>
      </c>
    </row>
    <row r="31">
      <c r="B31" s="58" t="inlineStr">
        <is>
          <t>STRAIGHT-LINE RECOGNIZED REVENUE</t>
        </is>
      </c>
      <c r="C31" s="60">
        <f>C29+C30</f>
        <v/>
      </c>
      <c r="D31" s="60">
        <f>D29+D30</f>
        <v/>
      </c>
      <c r="E31" s="60">
        <f>E29+E30</f>
        <v/>
      </c>
      <c r="F31" s="60">
        <f>F29+F30</f>
        <v/>
      </c>
      <c r="G31" s="60">
        <f>G29+G30</f>
        <v/>
      </c>
      <c r="H31" s="60">
        <f>H29+H30</f>
        <v/>
      </c>
      <c r="I31" s="60">
        <f>I29+I30</f>
        <v/>
      </c>
      <c r="J31" s="60">
        <f>J29+J30</f>
        <v/>
      </c>
      <c r="K31" s="60">
        <f>K29+K30</f>
        <v/>
      </c>
      <c r="L31" s="60">
        <f>L29+L30</f>
        <v/>
      </c>
      <c r="M31" s="60">
        <f>M29+M30</f>
        <v/>
      </c>
      <c r="N31" s="60">
        <f>N29+N30</f>
        <v/>
      </c>
      <c r="O31" s="60">
        <f>O29+O30</f>
        <v/>
      </c>
      <c r="P31" s="60">
        <f>P29+P30</f>
        <v/>
      </c>
      <c r="Q31" s="60">
        <f>Q29+Q30</f>
        <v/>
      </c>
      <c r="R31" s="60">
        <f>R29+R30</f>
        <v/>
      </c>
      <c r="S31" s="60">
        <f>S29+S30</f>
        <v/>
      </c>
      <c r="T31" s="60">
        <f>T29+T30</f>
        <v/>
      </c>
      <c r="U31" s="60">
        <f>U29+U30</f>
        <v/>
      </c>
      <c r="V31" s="60">
        <f>V29+V30</f>
        <v/>
      </c>
      <c r="W31" s="60">
        <f>W29+W30</f>
        <v/>
      </c>
      <c r="X31" s="60">
        <f>X29+X30</f>
        <v/>
      </c>
      <c r="Y31" s="60">
        <f>Y29+Y30</f>
        <v/>
      </c>
      <c r="Z31" s="60">
        <f>Z29+Z30</f>
        <v/>
      </c>
    </row>
    <row r="33">
      <c r="B33" s="3" t="inlineStr">
        <is>
          <t>SIDE-BY-SIDE COMPARISON</t>
        </is>
      </c>
    </row>
    <row r="34">
      <c r="B34" s="30" t="inlineStr">
        <is>
          <t>Cash Collected</t>
        </is>
      </c>
      <c r="C34" s="31">
        <f>C20</f>
        <v/>
      </c>
      <c r="D34" s="31">
        <f>D20</f>
        <v/>
      </c>
      <c r="E34" s="31">
        <f>E20</f>
        <v/>
      </c>
      <c r="F34" s="31">
        <f>F20</f>
        <v/>
      </c>
      <c r="G34" s="31">
        <f>G20</f>
        <v/>
      </c>
      <c r="H34" s="31">
        <f>H20</f>
        <v/>
      </c>
      <c r="I34" s="31">
        <f>I20</f>
        <v/>
      </c>
      <c r="J34" s="31">
        <f>J20</f>
        <v/>
      </c>
      <c r="K34" s="31">
        <f>K20</f>
        <v/>
      </c>
      <c r="L34" s="31">
        <f>L20</f>
        <v/>
      </c>
      <c r="M34" s="31">
        <f>M20</f>
        <v/>
      </c>
      <c r="N34" s="31">
        <f>N20</f>
        <v/>
      </c>
      <c r="O34" s="31">
        <f>O20</f>
        <v/>
      </c>
      <c r="P34" s="31">
        <f>P20</f>
        <v/>
      </c>
      <c r="Q34" s="31">
        <f>Q20</f>
        <v/>
      </c>
      <c r="R34" s="31">
        <f>R20</f>
        <v/>
      </c>
      <c r="S34" s="31">
        <f>S20</f>
        <v/>
      </c>
      <c r="T34" s="31">
        <f>T20</f>
        <v/>
      </c>
      <c r="U34" s="31">
        <f>U20</f>
        <v/>
      </c>
      <c r="V34" s="31">
        <f>V20</f>
        <v/>
      </c>
      <c r="W34" s="31">
        <f>W20</f>
        <v/>
      </c>
      <c r="X34" s="31">
        <f>X20</f>
        <v/>
      </c>
      <c r="Y34" s="31">
        <f>Y20</f>
        <v/>
      </c>
      <c r="Z34" s="31">
        <f>Z20</f>
        <v/>
      </c>
    </row>
    <row r="35">
      <c r="B35" s="57" t="inlineStr">
        <is>
          <t>Hybrid Recognized</t>
        </is>
      </c>
      <c r="C35" s="17">
        <f>C26</f>
        <v/>
      </c>
      <c r="D35" s="17">
        <f>D26</f>
        <v/>
      </c>
      <c r="E35" s="17">
        <f>E26</f>
        <v/>
      </c>
      <c r="F35" s="17">
        <f>F26</f>
        <v/>
      </c>
      <c r="G35" s="17">
        <f>G26</f>
        <v/>
      </c>
      <c r="H35" s="17">
        <f>H26</f>
        <v/>
      </c>
      <c r="I35" s="17">
        <f>I26</f>
        <v/>
      </c>
      <c r="J35" s="17">
        <f>J26</f>
        <v/>
      </c>
      <c r="K35" s="17">
        <f>K26</f>
        <v/>
      </c>
      <c r="L35" s="17">
        <f>L26</f>
        <v/>
      </c>
      <c r="M35" s="17">
        <f>M26</f>
        <v/>
      </c>
      <c r="N35" s="17">
        <f>N26</f>
        <v/>
      </c>
      <c r="O35" s="17">
        <f>O26</f>
        <v/>
      </c>
      <c r="P35" s="17">
        <f>P26</f>
        <v/>
      </c>
      <c r="Q35" s="17">
        <f>Q26</f>
        <v/>
      </c>
      <c r="R35" s="17">
        <f>R26</f>
        <v/>
      </c>
      <c r="S35" s="17">
        <f>S26</f>
        <v/>
      </c>
      <c r="T35" s="17">
        <f>T26</f>
        <v/>
      </c>
      <c r="U35" s="17">
        <f>U26</f>
        <v/>
      </c>
      <c r="V35" s="17">
        <f>V26</f>
        <v/>
      </c>
      <c r="W35" s="17">
        <f>W26</f>
        <v/>
      </c>
      <c r="X35" s="17">
        <f>X26</f>
        <v/>
      </c>
      <c r="Y35" s="17">
        <f>Y26</f>
        <v/>
      </c>
      <c r="Z35" s="17">
        <f>Z26</f>
        <v/>
      </c>
    </row>
    <row r="36">
      <c r="B36" s="58" t="inlineStr">
        <is>
          <t>Straight-Line Recognized</t>
        </is>
      </c>
      <c r="C36" s="60">
        <f>C31</f>
        <v/>
      </c>
      <c r="D36" s="60">
        <f>D31</f>
        <v/>
      </c>
      <c r="E36" s="60">
        <f>E31</f>
        <v/>
      </c>
      <c r="F36" s="60">
        <f>F31</f>
        <v/>
      </c>
      <c r="G36" s="60">
        <f>G31</f>
        <v/>
      </c>
      <c r="H36" s="60">
        <f>H31</f>
        <v/>
      </c>
      <c r="I36" s="60">
        <f>I31</f>
        <v/>
      </c>
      <c r="J36" s="60">
        <f>J31</f>
        <v/>
      </c>
      <c r="K36" s="60">
        <f>K31</f>
        <v/>
      </c>
      <c r="L36" s="60">
        <f>L31</f>
        <v/>
      </c>
      <c r="M36" s="60">
        <f>M31</f>
        <v/>
      </c>
      <c r="N36" s="60">
        <f>N31</f>
        <v/>
      </c>
      <c r="O36" s="60">
        <f>O31</f>
        <v/>
      </c>
      <c r="P36" s="60">
        <f>P31</f>
        <v/>
      </c>
      <c r="Q36" s="60">
        <f>Q31</f>
        <v/>
      </c>
      <c r="R36" s="60">
        <f>R31</f>
        <v/>
      </c>
      <c r="S36" s="60">
        <f>S31</f>
        <v/>
      </c>
      <c r="T36" s="60">
        <f>T31</f>
        <v/>
      </c>
      <c r="U36" s="60">
        <f>U31</f>
        <v/>
      </c>
      <c r="V36" s="60">
        <f>V31</f>
        <v/>
      </c>
      <c r="W36" s="60">
        <f>W31</f>
        <v/>
      </c>
      <c r="X36" s="60">
        <f>X31</f>
        <v/>
      </c>
      <c r="Y36" s="60">
        <f>Y31</f>
        <v/>
      </c>
      <c r="Z36" s="60">
        <f>Z31</f>
        <v/>
      </c>
    </row>
    <row r="37">
      <c r="B37" s="5" t="inlineStr">
        <is>
          <t>Cash vs Hybrid Gap (unrecognized cash)</t>
        </is>
      </c>
      <c r="C37" s="29">
        <f>C34-C35</f>
        <v/>
      </c>
      <c r="D37" s="29">
        <f>D34-D35</f>
        <v/>
      </c>
      <c r="E37" s="29">
        <f>E34-E35</f>
        <v/>
      </c>
      <c r="F37" s="29">
        <f>F34-F35</f>
        <v/>
      </c>
      <c r="G37" s="29">
        <f>G34-G35</f>
        <v/>
      </c>
      <c r="H37" s="29">
        <f>H34-H35</f>
        <v/>
      </c>
      <c r="I37" s="29">
        <f>I34-I35</f>
        <v/>
      </c>
      <c r="J37" s="29">
        <f>J34-J35</f>
        <v/>
      </c>
      <c r="K37" s="29">
        <f>K34-K35</f>
        <v/>
      </c>
      <c r="L37" s="29">
        <f>L34-L35</f>
        <v/>
      </c>
      <c r="M37" s="29">
        <f>M34-M35</f>
        <v/>
      </c>
      <c r="N37" s="29">
        <f>N34-N35</f>
        <v/>
      </c>
      <c r="O37" s="29">
        <f>O34-O35</f>
        <v/>
      </c>
      <c r="P37" s="29">
        <f>P34-P35</f>
        <v/>
      </c>
      <c r="Q37" s="29">
        <f>Q34-Q35</f>
        <v/>
      </c>
      <c r="R37" s="29">
        <f>R34-R35</f>
        <v/>
      </c>
      <c r="S37" s="29">
        <f>S34-S35</f>
        <v/>
      </c>
      <c r="T37" s="29">
        <f>T34-T35</f>
        <v/>
      </c>
      <c r="U37" s="29">
        <f>U34-U35</f>
        <v/>
      </c>
      <c r="V37" s="29">
        <f>V34-V35</f>
        <v/>
      </c>
      <c r="W37" s="29">
        <f>W34-W35</f>
        <v/>
      </c>
      <c r="X37" s="29">
        <f>X34-X35</f>
        <v/>
      </c>
      <c r="Y37" s="29">
        <f>Y34-Y35</f>
        <v/>
      </c>
      <c r="Z37" s="29">
        <f>Z34-Z35</f>
        <v/>
      </c>
    </row>
    <row r="38">
      <c r="B38" s="5" t="inlineStr">
        <is>
          <t>Cash vs Straight-Line Gap (unrecognized cash)</t>
        </is>
      </c>
      <c r="C38" s="29">
        <f>C34-C36</f>
        <v/>
      </c>
      <c r="D38" s="29">
        <f>D34-D36</f>
        <v/>
      </c>
      <c r="E38" s="29">
        <f>E34-E36</f>
        <v/>
      </c>
      <c r="F38" s="29">
        <f>F34-F36</f>
        <v/>
      </c>
      <c r="G38" s="29">
        <f>G34-G36</f>
        <v/>
      </c>
      <c r="H38" s="29">
        <f>H34-H36</f>
        <v/>
      </c>
      <c r="I38" s="29">
        <f>I34-I36</f>
        <v/>
      </c>
      <c r="J38" s="29">
        <f>J34-J36</f>
        <v/>
      </c>
      <c r="K38" s="29">
        <f>K34-K36</f>
        <v/>
      </c>
      <c r="L38" s="29">
        <f>L34-L36</f>
        <v/>
      </c>
      <c r="M38" s="29">
        <f>M34-M36</f>
        <v/>
      </c>
      <c r="N38" s="29">
        <f>N34-N36</f>
        <v/>
      </c>
      <c r="O38" s="29">
        <f>O34-O36</f>
        <v/>
      </c>
      <c r="P38" s="29">
        <f>P34-P36</f>
        <v/>
      </c>
      <c r="Q38" s="29">
        <f>Q34-Q36</f>
        <v/>
      </c>
      <c r="R38" s="29">
        <f>R34-R36</f>
        <v/>
      </c>
      <c r="S38" s="29">
        <f>S34-S36</f>
        <v/>
      </c>
      <c r="T38" s="29">
        <f>T34-T36</f>
        <v/>
      </c>
      <c r="U38" s="29">
        <f>U34-U36</f>
        <v/>
      </c>
      <c r="V38" s="29">
        <f>V34-V36</f>
        <v/>
      </c>
      <c r="W38" s="29">
        <f>W34-W36</f>
        <v/>
      </c>
      <c r="X38" s="29">
        <f>X34-X36</f>
        <v/>
      </c>
      <c r="Y38" s="29">
        <f>Y34-Y36</f>
        <v/>
      </c>
      <c r="Z38" s="29">
        <f>Z34-Z36</f>
        <v/>
      </c>
    </row>
    <row r="40">
      <c r="B40" s="3" t="inlineStr">
        <is>
          <t>DEFERRED REVENUE LIABILITY (Balance Sheet)</t>
        </is>
      </c>
      <c r="F40" s="10" t="inlineStr">
        <is>
          <t>This is your escrow — cash received but not yet earned</t>
        </is>
      </c>
    </row>
    <row r="42">
      <c r="B42" s="57" t="inlineStr">
        <is>
          <t>HYBRID — Deferred Revenue Balance</t>
        </is>
      </c>
      <c r="C42" s="61" t="n"/>
      <c r="D42" s="61" t="n"/>
      <c r="E42" s="61" t="n"/>
      <c r="F42" s="62" t="inlineStr">
        <is>
          <t>Opening + new deferrals - monthly recognition = closing</t>
        </is>
      </c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61" t="n"/>
      <c r="U42" s="61" t="n"/>
      <c r="V42" s="61" t="n"/>
      <c r="W42" s="61" t="n"/>
      <c r="X42" s="61" t="n"/>
      <c r="Y42" s="61" t="n"/>
      <c r="Z42" s="61" t="n"/>
    </row>
    <row r="43">
      <c r="B43" s="5" t="inlineStr">
        <is>
          <t xml:space="preserve">  + New Deferrals (charm sales x deferred portion)</t>
        </is>
      </c>
      <c r="C43" s="29">
        <f>'24-Month Projections'!C6*$C$10+'24-Month Projections'!C7*$D$10+'24-Month Projections'!C8*$E$10</f>
        <v/>
      </c>
      <c r="D43" s="29">
        <f>'24-Month Projections'!D6*$C$10+'24-Month Projections'!D7*$D$10+'24-Month Projections'!D8*$E$10</f>
        <v/>
      </c>
      <c r="E43" s="29">
        <f>'24-Month Projections'!E6*$C$10+'24-Month Projections'!E7*$D$10+'24-Month Projections'!E8*$E$10</f>
        <v/>
      </c>
      <c r="F43" s="29">
        <f>'24-Month Projections'!F6*$C$10+'24-Month Projections'!F7*$D$10+'24-Month Projections'!F8*$E$10</f>
        <v/>
      </c>
      <c r="G43" s="29">
        <f>'24-Month Projections'!G6*$C$10+'24-Month Projections'!G7*$D$10+'24-Month Projections'!G8*$E$10</f>
        <v/>
      </c>
      <c r="H43" s="29">
        <f>'24-Month Projections'!H6*$C$10+'24-Month Projections'!H7*$D$10+'24-Month Projections'!H8*$E$10</f>
        <v/>
      </c>
      <c r="I43" s="29">
        <f>'24-Month Projections'!I6*$C$10+'24-Month Projections'!I7*$D$10+'24-Month Projections'!I8*$E$10</f>
        <v/>
      </c>
      <c r="J43" s="29">
        <f>'24-Month Projections'!J6*$C$10+'24-Month Projections'!J7*$D$10+'24-Month Projections'!J8*$E$10</f>
        <v/>
      </c>
      <c r="K43" s="29">
        <f>'24-Month Projections'!K6*$C$10+'24-Month Projections'!K7*$D$10+'24-Month Projections'!K8*$E$10</f>
        <v/>
      </c>
      <c r="L43" s="29">
        <f>'24-Month Projections'!L6*$C$10+'24-Month Projections'!L7*$D$10+'24-Month Projections'!L8*$E$10</f>
        <v/>
      </c>
      <c r="M43" s="29">
        <f>'24-Month Projections'!M6*$C$10+'24-Month Projections'!M7*$D$10+'24-Month Projections'!M8*$E$10</f>
        <v/>
      </c>
      <c r="N43" s="29">
        <f>'24-Month Projections'!N6*$C$10+'24-Month Projections'!N7*$D$10+'24-Month Projections'!N8*$E$10</f>
        <v/>
      </c>
      <c r="O43" s="29">
        <f>'24-Month Projections'!O6*$C$10+'24-Month Projections'!O7*$D$10+'24-Month Projections'!O8*$E$10</f>
        <v/>
      </c>
      <c r="P43" s="29">
        <f>'24-Month Projections'!P6*$C$10+'24-Month Projections'!P7*$D$10+'24-Month Projections'!P8*$E$10</f>
        <v/>
      </c>
      <c r="Q43" s="29">
        <f>'24-Month Projections'!Q6*$C$10+'24-Month Projections'!Q7*$D$10+'24-Month Projections'!Q8*$E$10</f>
        <v/>
      </c>
      <c r="R43" s="29">
        <f>'24-Month Projections'!R6*$C$10+'24-Month Projections'!R7*$D$10+'24-Month Projections'!R8*$E$10</f>
        <v/>
      </c>
      <c r="S43" s="29">
        <f>'24-Month Projections'!S6*$C$10+'24-Month Projections'!S7*$D$10+'24-Month Projections'!S8*$E$10</f>
        <v/>
      </c>
      <c r="T43" s="29">
        <f>'24-Month Projections'!T6*$C$10+'24-Month Projections'!T7*$D$10+'24-Month Projections'!T8*$E$10</f>
        <v/>
      </c>
      <c r="U43" s="29">
        <f>'24-Month Projections'!U6*$C$10+'24-Month Projections'!U7*$D$10+'24-Month Projections'!U8*$E$10</f>
        <v/>
      </c>
      <c r="V43" s="29">
        <f>'24-Month Projections'!V6*$C$10+'24-Month Projections'!V7*$D$10+'24-Month Projections'!V8*$E$10</f>
        <v/>
      </c>
      <c r="W43" s="29">
        <f>'24-Month Projections'!W6*$C$10+'24-Month Projections'!W7*$D$10+'24-Month Projections'!W8*$E$10</f>
        <v/>
      </c>
      <c r="X43" s="29">
        <f>'24-Month Projections'!X6*$C$10+'24-Month Projections'!X7*$D$10+'24-Month Projections'!X8*$E$10</f>
        <v/>
      </c>
      <c r="Y43" s="29">
        <f>'24-Month Projections'!Y6*$C$10+'24-Month Projections'!Y7*$D$10+'24-Month Projections'!Y8*$E$10</f>
        <v/>
      </c>
      <c r="Z43" s="29">
        <f>'24-Month Projections'!Z6*$C$10+'24-Month Projections'!Z7*$D$10+'24-Month Projections'!Z8*$E$10</f>
        <v/>
      </c>
    </row>
    <row r="44">
      <c r="B44" s="5" t="inlineStr">
        <is>
          <t xml:space="preserve">  - Monthly Recognition (from deferred pool)</t>
        </is>
      </c>
      <c r="C44" s="29">
        <f>C24</f>
        <v/>
      </c>
      <c r="D44" s="29">
        <f>D24</f>
        <v/>
      </c>
      <c r="E44" s="29">
        <f>E24</f>
        <v/>
      </c>
      <c r="F44" s="29">
        <f>F24</f>
        <v/>
      </c>
      <c r="G44" s="29">
        <f>G24</f>
        <v/>
      </c>
      <c r="H44" s="29">
        <f>H24</f>
        <v/>
      </c>
      <c r="I44" s="29">
        <f>I24</f>
        <v/>
      </c>
      <c r="J44" s="29">
        <f>J24</f>
        <v/>
      </c>
      <c r="K44" s="29">
        <f>K24</f>
        <v/>
      </c>
      <c r="L44" s="29">
        <f>L24</f>
        <v/>
      </c>
      <c r="M44" s="29">
        <f>M24</f>
        <v/>
      </c>
      <c r="N44" s="29">
        <f>N24</f>
        <v/>
      </c>
      <c r="O44" s="29">
        <f>O24</f>
        <v/>
      </c>
      <c r="P44" s="29">
        <f>P24</f>
        <v/>
      </c>
      <c r="Q44" s="29">
        <f>Q24</f>
        <v/>
      </c>
      <c r="R44" s="29">
        <f>R24</f>
        <v/>
      </c>
      <c r="S44" s="29">
        <f>S24</f>
        <v/>
      </c>
      <c r="T44" s="29">
        <f>T24</f>
        <v/>
      </c>
      <c r="U44" s="29">
        <f>U24</f>
        <v/>
      </c>
      <c r="V44" s="29">
        <f>V24</f>
        <v/>
      </c>
      <c r="W44" s="29">
        <f>W24</f>
        <v/>
      </c>
      <c r="X44" s="29">
        <f>X24</f>
        <v/>
      </c>
      <c r="Y44" s="29">
        <f>Y24</f>
        <v/>
      </c>
      <c r="Z44" s="29">
        <f>Z24</f>
        <v/>
      </c>
    </row>
    <row r="45">
      <c r="B45" s="5" t="inlineStr">
        <is>
          <t xml:space="preserve">  - Return Reversals (refunded charms x deferred portion)</t>
        </is>
      </c>
      <c r="C45" s="29">
        <f>IF('24-Month Projections'!C9&gt;0, '24-Month Projections'!C88*(C43/'24-Month Projections'!C9), 0)</f>
        <v/>
      </c>
      <c r="D45" s="29">
        <f>IF('24-Month Projections'!D9&gt;0, '24-Month Projections'!D88*(D43/'24-Month Projections'!D9), 0)</f>
        <v/>
      </c>
      <c r="E45" s="29">
        <f>IF('24-Month Projections'!E9&gt;0, '24-Month Projections'!E88*(E43/'24-Month Projections'!E9), 0)</f>
        <v/>
      </c>
      <c r="F45" s="29">
        <f>IF('24-Month Projections'!F9&gt;0, '24-Month Projections'!F88*(F43/'24-Month Projections'!F9), 0)</f>
        <v/>
      </c>
      <c r="G45" s="29">
        <f>IF('24-Month Projections'!G9&gt;0, '24-Month Projections'!G88*(G43/'24-Month Projections'!G9), 0)</f>
        <v/>
      </c>
      <c r="H45" s="29">
        <f>IF('24-Month Projections'!H9&gt;0, '24-Month Projections'!H88*(H43/'24-Month Projections'!H9), 0)</f>
        <v/>
      </c>
      <c r="I45" s="29">
        <f>IF('24-Month Projections'!I9&gt;0, '24-Month Projections'!I88*(I43/'24-Month Projections'!I9), 0)</f>
        <v/>
      </c>
      <c r="J45" s="29">
        <f>IF('24-Month Projections'!J9&gt;0, '24-Month Projections'!J88*(J43/'24-Month Projections'!J9), 0)</f>
        <v/>
      </c>
      <c r="K45" s="29">
        <f>IF('24-Month Projections'!K9&gt;0, '24-Month Projections'!K88*(K43/'24-Month Projections'!K9), 0)</f>
        <v/>
      </c>
      <c r="L45" s="29">
        <f>IF('24-Month Projections'!L9&gt;0, '24-Month Projections'!L88*(L43/'24-Month Projections'!L9), 0)</f>
        <v/>
      </c>
      <c r="M45" s="29">
        <f>IF('24-Month Projections'!M9&gt;0, '24-Month Projections'!M88*(M43/'24-Month Projections'!M9), 0)</f>
        <v/>
      </c>
      <c r="N45" s="29">
        <f>IF('24-Month Projections'!N9&gt;0, '24-Month Projections'!N88*(N43/'24-Month Projections'!N9), 0)</f>
        <v/>
      </c>
      <c r="O45" s="29">
        <f>IF('24-Month Projections'!O9&gt;0, '24-Month Projections'!O88*(O43/'24-Month Projections'!O9), 0)</f>
        <v/>
      </c>
      <c r="P45" s="29">
        <f>IF('24-Month Projections'!P9&gt;0, '24-Month Projections'!P88*(P43/'24-Month Projections'!P9), 0)</f>
        <v/>
      </c>
      <c r="Q45" s="29">
        <f>IF('24-Month Projections'!Q9&gt;0, '24-Month Projections'!Q88*(Q43/'24-Month Projections'!Q9), 0)</f>
        <v/>
      </c>
      <c r="R45" s="29">
        <f>IF('24-Month Projections'!R9&gt;0, '24-Month Projections'!R88*(R43/'24-Month Projections'!R9), 0)</f>
        <v/>
      </c>
      <c r="S45" s="29">
        <f>IF('24-Month Projections'!S9&gt;0, '24-Month Projections'!S88*(S43/'24-Month Projections'!S9), 0)</f>
        <v/>
      </c>
      <c r="T45" s="29">
        <f>IF('24-Month Projections'!T9&gt;0, '24-Month Projections'!T88*(T43/'24-Month Projections'!T9), 0)</f>
        <v/>
      </c>
      <c r="U45" s="29">
        <f>IF('24-Month Projections'!U9&gt;0, '24-Month Projections'!U88*(U43/'24-Month Projections'!U9), 0)</f>
        <v/>
      </c>
      <c r="V45" s="29">
        <f>IF('24-Month Projections'!V9&gt;0, '24-Month Projections'!V88*(V43/'24-Month Projections'!V9), 0)</f>
        <v/>
      </c>
      <c r="W45" s="29">
        <f>IF('24-Month Projections'!W9&gt;0, '24-Month Projections'!W88*(W43/'24-Month Projections'!W9), 0)</f>
        <v/>
      </c>
      <c r="X45" s="29">
        <f>IF('24-Month Projections'!X9&gt;0, '24-Month Projections'!X88*(X43/'24-Month Projections'!X9), 0)</f>
        <v/>
      </c>
      <c r="Y45" s="29">
        <f>IF('24-Month Projections'!Y9&gt;0, '24-Month Projections'!Y88*(Y43/'24-Month Projections'!Y9), 0)</f>
        <v/>
      </c>
      <c r="Z45" s="29">
        <f>IF('24-Month Projections'!Z9&gt;0, '24-Month Projections'!Z88*(Z43/'24-Month Projections'!Z9), 0)</f>
        <v/>
      </c>
    </row>
    <row r="46">
      <c r="B46" s="57" t="inlineStr">
        <is>
          <t xml:space="preserve">  = HYBRID Deferred Revenue Balance</t>
        </is>
      </c>
      <c r="C46" s="17">
        <f>C43-C44-C45</f>
        <v/>
      </c>
      <c r="D46" s="17">
        <f>C46+D43-D44-D45</f>
        <v/>
      </c>
      <c r="E46" s="17">
        <f>D46+E43-E44-E45</f>
        <v/>
      </c>
      <c r="F46" s="17">
        <f>E46+F43-F44-F45</f>
        <v/>
      </c>
      <c r="G46" s="17">
        <f>F46+G43-G44-G45</f>
        <v/>
      </c>
      <c r="H46" s="17">
        <f>G46+H43-H44-H45</f>
        <v/>
      </c>
      <c r="I46" s="17">
        <f>H46+I43-I44-I45</f>
        <v/>
      </c>
      <c r="J46" s="17">
        <f>I46+J43-J44-J45</f>
        <v/>
      </c>
      <c r="K46" s="17">
        <f>J46+K43-K44-K45</f>
        <v/>
      </c>
      <c r="L46" s="17">
        <f>K46+L43-L44-L45</f>
        <v/>
      </c>
      <c r="M46" s="17">
        <f>L46+M43-M44-M45</f>
        <v/>
      </c>
      <c r="N46" s="17">
        <f>M46+N43-N44-N45</f>
        <v/>
      </c>
      <c r="O46" s="17">
        <f>N46+O43-O44-O45</f>
        <v/>
      </c>
      <c r="P46" s="17">
        <f>O46+P43-P44-P45</f>
        <v/>
      </c>
      <c r="Q46" s="17">
        <f>P46+Q43-Q44-Q45</f>
        <v/>
      </c>
      <c r="R46" s="17">
        <f>Q46+R43-R44-R45</f>
        <v/>
      </c>
      <c r="S46" s="17">
        <f>R46+S43-S44-S45</f>
        <v/>
      </c>
      <c r="T46" s="17">
        <f>S46+T43-T44-T45</f>
        <v/>
      </c>
      <c r="U46" s="17">
        <f>T46+U43-U44-U45</f>
        <v/>
      </c>
      <c r="V46" s="17">
        <f>U46+V43-V44-V45</f>
        <v/>
      </c>
      <c r="W46" s="17">
        <f>V46+W43-W44-W45</f>
        <v/>
      </c>
      <c r="X46" s="17">
        <f>W46+X43-X44-X45</f>
        <v/>
      </c>
      <c r="Y46" s="17">
        <f>X46+Y43-Y44-Y45</f>
        <v/>
      </c>
      <c r="Z46" s="17">
        <f>Y46+Z43-Z44-Z45</f>
        <v/>
      </c>
    </row>
    <row r="48">
      <c r="B48" s="58" t="inlineStr">
        <is>
          <t>STRAIGHT-LINE — Deferred Revenue Balance</t>
        </is>
      </c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</row>
    <row r="49">
      <c r="B49" s="5" t="inlineStr">
        <is>
          <t xml:space="preserve">  + New Deferrals (full charm price)</t>
        </is>
      </c>
      <c r="C49" s="29">
        <f>'24-Month Projections'!C6*$C$7+'24-Month Projections'!C7*$D$7+'24-Month Projections'!C8*$E$7</f>
        <v/>
      </c>
      <c r="D49" s="29">
        <f>'24-Month Projections'!D6*$C$7+'24-Month Projections'!D7*$D$7+'24-Month Projections'!D8*$E$7</f>
        <v/>
      </c>
      <c r="E49" s="29">
        <f>'24-Month Projections'!E6*$C$7+'24-Month Projections'!E7*$D$7+'24-Month Projections'!E8*$E$7</f>
        <v/>
      </c>
      <c r="F49" s="29">
        <f>'24-Month Projections'!F6*$C$7+'24-Month Projections'!F7*$D$7+'24-Month Projections'!F8*$E$7</f>
        <v/>
      </c>
      <c r="G49" s="29">
        <f>'24-Month Projections'!G6*$C$7+'24-Month Projections'!G7*$D$7+'24-Month Projections'!G8*$E$7</f>
        <v/>
      </c>
      <c r="H49" s="29">
        <f>'24-Month Projections'!H6*$C$7+'24-Month Projections'!H7*$D$7+'24-Month Projections'!H8*$E$7</f>
        <v/>
      </c>
      <c r="I49" s="29">
        <f>'24-Month Projections'!I6*$C$7+'24-Month Projections'!I7*$D$7+'24-Month Projections'!I8*$E$7</f>
        <v/>
      </c>
      <c r="J49" s="29">
        <f>'24-Month Projections'!J6*$C$7+'24-Month Projections'!J7*$D$7+'24-Month Projections'!J8*$E$7</f>
        <v/>
      </c>
      <c r="K49" s="29">
        <f>'24-Month Projections'!K6*$C$7+'24-Month Projections'!K7*$D$7+'24-Month Projections'!K8*$E$7</f>
        <v/>
      </c>
      <c r="L49" s="29">
        <f>'24-Month Projections'!L6*$C$7+'24-Month Projections'!L7*$D$7+'24-Month Projections'!L8*$E$7</f>
        <v/>
      </c>
      <c r="M49" s="29">
        <f>'24-Month Projections'!M6*$C$7+'24-Month Projections'!M7*$D$7+'24-Month Projections'!M8*$E$7</f>
        <v/>
      </c>
      <c r="N49" s="29">
        <f>'24-Month Projections'!N6*$C$7+'24-Month Projections'!N7*$D$7+'24-Month Projections'!N8*$E$7</f>
        <v/>
      </c>
      <c r="O49" s="29">
        <f>'24-Month Projections'!O6*$C$7+'24-Month Projections'!O7*$D$7+'24-Month Projections'!O8*$E$7</f>
        <v/>
      </c>
      <c r="P49" s="29">
        <f>'24-Month Projections'!P6*$C$7+'24-Month Projections'!P7*$D$7+'24-Month Projections'!P8*$E$7</f>
        <v/>
      </c>
      <c r="Q49" s="29">
        <f>'24-Month Projections'!Q6*$C$7+'24-Month Projections'!Q7*$D$7+'24-Month Projections'!Q8*$E$7</f>
        <v/>
      </c>
      <c r="R49" s="29">
        <f>'24-Month Projections'!R6*$C$7+'24-Month Projections'!R7*$D$7+'24-Month Projections'!R8*$E$7</f>
        <v/>
      </c>
      <c r="S49" s="29">
        <f>'24-Month Projections'!S6*$C$7+'24-Month Projections'!S7*$D$7+'24-Month Projections'!S8*$E$7</f>
        <v/>
      </c>
      <c r="T49" s="29">
        <f>'24-Month Projections'!T6*$C$7+'24-Month Projections'!T7*$D$7+'24-Month Projections'!T8*$E$7</f>
        <v/>
      </c>
      <c r="U49" s="29">
        <f>'24-Month Projections'!U6*$C$7+'24-Month Projections'!U7*$D$7+'24-Month Projections'!U8*$E$7</f>
        <v/>
      </c>
      <c r="V49" s="29">
        <f>'24-Month Projections'!V6*$C$7+'24-Month Projections'!V7*$D$7+'24-Month Projections'!V8*$E$7</f>
        <v/>
      </c>
      <c r="W49" s="29">
        <f>'24-Month Projections'!W6*$C$7+'24-Month Projections'!W7*$D$7+'24-Month Projections'!W8*$E$7</f>
        <v/>
      </c>
      <c r="X49" s="29">
        <f>'24-Month Projections'!X6*$C$7+'24-Month Projections'!X7*$D$7+'24-Month Projections'!X8*$E$7</f>
        <v/>
      </c>
      <c r="Y49" s="29">
        <f>'24-Month Projections'!Y6*$C$7+'24-Month Projections'!Y7*$D$7+'24-Month Projections'!Y8*$E$7</f>
        <v/>
      </c>
      <c r="Z49" s="29">
        <f>'24-Month Projections'!Z6*$C$7+'24-Month Projections'!Z7*$D$7+'24-Month Projections'!Z8*$E$7</f>
        <v/>
      </c>
    </row>
    <row r="50">
      <c r="B50" s="5" t="inlineStr">
        <is>
          <t xml:space="preserve">  - Monthly Recognition</t>
        </is>
      </c>
      <c r="C50" s="29">
        <f>C29</f>
        <v/>
      </c>
      <c r="D50" s="29">
        <f>D29</f>
        <v/>
      </c>
      <c r="E50" s="29">
        <f>E29</f>
        <v/>
      </c>
      <c r="F50" s="29">
        <f>F29</f>
        <v/>
      </c>
      <c r="G50" s="29">
        <f>G29</f>
        <v/>
      </c>
      <c r="H50" s="29">
        <f>H29</f>
        <v/>
      </c>
      <c r="I50" s="29">
        <f>I29</f>
        <v/>
      </c>
      <c r="J50" s="29">
        <f>J29</f>
        <v/>
      </c>
      <c r="K50" s="29">
        <f>K29</f>
        <v/>
      </c>
      <c r="L50" s="29">
        <f>L29</f>
        <v/>
      </c>
      <c r="M50" s="29">
        <f>M29</f>
        <v/>
      </c>
      <c r="N50" s="29">
        <f>N29</f>
        <v/>
      </c>
      <c r="O50" s="29">
        <f>O29</f>
        <v/>
      </c>
      <c r="P50" s="29">
        <f>P29</f>
        <v/>
      </c>
      <c r="Q50" s="29">
        <f>Q29</f>
        <v/>
      </c>
      <c r="R50" s="29">
        <f>R29</f>
        <v/>
      </c>
      <c r="S50" s="29">
        <f>S29</f>
        <v/>
      </c>
      <c r="T50" s="29">
        <f>T29</f>
        <v/>
      </c>
      <c r="U50" s="29">
        <f>U29</f>
        <v/>
      </c>
      <c r="V50" s="29">
        <f>V29</f>
        <v/>
      </c>
      <c r="W50" s="29">
        <f>W29</f>
        <v/>
      </c>
      <c r="X50" s="29">
        <f>X29</f>
        <v/>
      </c>
      <c r="Y50" s="29">
        <f>Y29</f>
        <v/>
      </c>
      <c r="Z50" s="29">
        <f>Z29</f>
        <v/>
      </c>
    </row>
    <row r="51">
      <c r="B51" s="5" t="inlineStr">
        <is>
          <t xml:space="preserve">  - Return Reversals (refunded charms x full price)</t>
        </is>
      </c>
      <c r="C51" s="29">
        <f>IF('24-Month Projections'!C9&gt;0, '24-Month Projections'!C88*(C49/'24-Month Projections'!C9), 0)</f>
        <v/>
      </c>
      <c r="D51" s="29">
        <f>IF('24-Month Projections'!D9&gt;0, '24-Month Projections'!D88*(D49/'24-Month Projections'!D9), 0)</f>
        <v/>
      </c>
      <c r="E51" s="29">
        <f>IF('24-Month Projections'!E9&gt;0, '24-Month Projections'!E88*(E49/'24-Month Projections'!E9), 0)</f>
        <v/>
      </c>
      <c r="F51" s="29">
        <f>IF('24-Month Projections'!F9&gt;0, '24-Month Projections'!F88*(F49/'24-Month Projections'!F9), 0)</f>
        <v/>
      </c>
      <c r="G51" s="29">
        <f>IF('24-Month Projections'!G9&gt;0, '24-Month Projections'!G88*(G49/'24-Month Projections'!G9), 0)</f>
        <v/>
      </c>
      <c r="H51" s="29">
        <f>IF('24-Month Projections'!H9&gt;0, '24-Month Projections'!H88*(H49/'24-Month Projections'!H9), 0)</f>
        <v/>
      </c>
      <c r="I51" s="29">
        <f>IF('24-Month Projections'!I9&gt;0, '24-Month Projections'!I88*(I49/'24-Month Projections'!I9), 0)</f>
        <v/>
      </c>
      <c r="J51" s="29">
        <f>IF('24-Month Projections'!J9&gt;0, '24-Month Projections'!J88*(J49/'24-Month Projections'!J9), 0)</f>
        <v/>
      </c>
      <c r="K51" s="29">
        <f>IF('24-Month Projections'!K9&gt;0, '24-Month Projections'!K88*(K49/'24-Month Projections'!K9), 0)</f>
        <v/>
      </c>
      <c r="L51" s="29">
        <f>IF('24-Month Projections'!L9&gt;0, '24-Month Projections'!L88*(L49/'24-Month Projections'!L9), 0)</f>
        <v/>
      </c>
      <c r="M51" s="29">
        <f>IF('24-Month Projections'!M9&gt;0, '24-Month Projections'!M88*(M49/'24-Month Projections'!M9), 0)</f>
        <v/>
      </c>
      <c r="N51" s="29">
        <f>IF('24-Month Projections'!N9&gt;0, '24-Month Projections'!N88*(N49/'24-Month Projections'!N9), 0)</f>
        <v/>
      </c>
      <c r="O51" s="29">
        <f>IF('24-Month Projections'!O9&gt;0, '24-Month Projections'!O88*(O49/'24-Month Projections'!O9), 0)</f>
        <v/>
      </c>
      <c r="P51" s="29">
        <f>IF('24-Month Projections'!P9&gt;0, '24-Month Projections'!P88*(P49/'24-Month Projections'!P9), 0)</f>
        <v/>
      </c>
      <c r="Q51" s="29">
        <f>IF('24-Month Projections'!Q9&gt;0, '24-Month Projections'!Q88*(Q49/'24-Month Projections'!Q9), 0)</f>
        <v/>
      </c>
      <c r="R51" s="29">
        <f>IF('24-Month Projections'!R9&gt;0, '24-Month Projections'!R88*(R49/'24-Month Projections'!R9), 0)</f>
        <v/>
      </c>
      <c r="S51" s="29">
        <f>IF('24-Month Projections'!S9&gt;0, '24-Month Projections'!S88*(S49/'24-Month Projections'!S9), 0)</f>
        <v/>
      </c>
      <c r="T51" s="29">
        <f>IF('24-Month Projections'!T9&gt;0, '24-Month Projections'!T88*(T49/'24-Month Projections'!T9), 0)</f>
        <v/>
      </c>
      <c r="U51" s="29">
        <f>IF('24-Month Projections'!U9&gt;0, '24-Month Projections'!U88*(U49/'24-Month Projections'!U9), 0)</f>
        <v/>
      </c>
      <c r="V51" s="29">
        <f>IF('24-Month Projections'!V9&gt;0, '24-Month Projections'!V88*(V49/'24-Month Projections'!V9), 0)</f>
        <v/>
      </c>
      <c r="W51" s="29">
        <f>IF('24-Month Projections'!W9&gt;0, '24-Month Projections'!W88*(W49/'24-Month Projections'!W9), 0)</f>
        <v/>
      </c>
      <c r="X51" s="29">
        <f>IF('24-Month Projections'!X9&gt;0, '24-Month Projections'!X88*(X49/'24-Month Projections'!X9), 0)</f>
        <v/>
      </c>
      <c r="Y51" s="29">
        <f>IF('24-Month Projections'!Y9&gt;0, '24-Month Projections'!Y88*(Y49/'24-Month Projections'!Y9), 0)</f>
        <v/>
      </c>
      <c r="Z51" s="29">
        <f>IF('24-Month Projections'!Z9&gt;0, '24-Month Projections'!Z88*(Z49/'24-Month Projections'!Z9), 0)</f>
        <v/>
      </c>
    </row>
    <row r="52">
      <c r="B52" s="58" t="inlineStr">
        <is>
          <t xml:space="preserve">  = STRAIGHT-LINE Deferred Revenue Balance</t>
        </is>
      </c>
      <c r="C52" s="60">
        <f>C49-C50-C51</f>
        <v/>
      </c>
      <c r="D52" s="60">
        <f>C52+D49-D50-D51</f>
        <v/>
      </c>
      <c r="E52" s="60">
        <f>D52+E49-E50-E51</f>
        <v/>
      </c>
      <c r="F52" s="60">
        <f>E52+F49-F50-F51</f>
        <v/>
      </c>
      <c r="G52" s="60">
        <f>F52+G49-G50-G51</f>
        <v/>
      </c>
      <c r="H52" s="60">
        <f>G52+H49-H50-H51</f>
        <v/>
      </c>
      <c r="I52" s="60">
        <f>H52+I49-I50-I51</f>
        <v/>
      </c>
      <c r="J52" s="60">
        <f>I52+J49-J50-J51</f>
        <v/>
      </c>
      <c r="K52" s="60">
        <f>J52+K49-K50-K51</f>
        <v/>
      </c>
      <c r="L52" s="60">
        <f>K52+L49-L50-L51</f>
        <v/>
      </c>
      <c r="M52" s="60">
        <f>L52+M49-M50-M51</f>
        <v/>
      </c>
      <c r="N52" s="60">
        <f>M52+N49-N50-N51</f>
        <v/>
      </c>
      <c r="O52" s="60">
        <f>N52+O49-O50-O51</f>
        <v/>
      </c>
      <c r="P52" s="60">
        <f>O52+P49-P50-P51</f>
        <v/>
      </c>
      <c r="Q52" s="60">
        <f>P52+Q49-Q50-Q51</f>
        <v/>
      </c>
      <c r="R52" s="60">
        <f>Q52+R49-R50-R51</f>
        <v/>
      </c>
      <c r="S52" s="60">
        <f>R52+S49-S50-S51</f>
        <v/>
      </c>
      <c r="T52" s="60">
        <f>S52+T49-T50-T51</f>
        <v/>
      </c>
      <c r="U52" s="60">
        <f>T52+U49-U50-U51</f>
        <v/>
      </c>
      <c r="V52" s="60">
        <f>U52+V49-V50-V51</f>
        <v/>
      </c>
      <c r="W52" s="60">
        <f>V52+W49-W50-W51</f>
        <v/>
      </c>
      <c r="X52" s="60">
        <f>W52+X49-X50-X51</f>
        <v/>
      </c>
      <c r="Y52" s="60">
        <f>X52+Y49-Y50-Y51</f>
        <v/>
      </c>
      <c r="Z52" s="60">
        <f>Y52+Z49-Z50-Z51</f>
        <v/>
      </c>
    </row>
    <row r="54">
      <c r="B54" s="3" t="inlineStr">
        <is>
          <t>EBITDA UNDER EACH RECOGNITION METHOD (incl. returns)</t>
        </is>
      </c>
      <c r="F54" s="10" t="inlineStr">
        <is>
          <t>Uses adjusted costs (COGS + returns + OpEx)</t>
        </is>
      </c>
    </row>
    <row r="55">
      <c r="B55" s="5" t="inlineStr">
        <is>
          <t>Adjusted Total Costs (COGS + returns + OpEx)</t>
        </is>
      </c>
      <c r="C55" s="29">
        <f>'24-Month Projections'!C105+'24-Month Projections'!C106+'24-Month Projections'!C70</f>
        <v/>
      </c>
      <c r="D55" s="29">
        <f>'24-Month Projections'!D105+'24-Month Projections'!D106+'24-Month Projections'!D70</f>
        <v/>
      </c>
      <c r="E55" s="29">
        <f>'24-Month Projections'!E105+'24-Month Projections'!E106+'24-Month Projections'!E70</f>
        <v/>
      </c>
      <c r="F55" s="29">
        <f>'24-Month Projections'!F105+'24-Month Projections'!F106+'24-Month Projections'!F70</f>
        <v/>
      </c>
      <c r="G55" s="29">
        <f>'24-Month Projections'!G105+'24-Month Projections'!G106+'24-Month Projections'!G70</f>
        <v/>
      </c>
      <c r="H55" s="29">
        <f>'24-Month Projections'!H105+'24-Month Projections'!H106+'24-Month Projections'!H70</f>
        <v/>
      </c>
      <c r="I55" s="29">
        <f>'24-Month Projections'!I105+'24-Month Projections'!I106+'24-Month Projections'!I70</f>
        <v/>
      </c>
      <c r="J55" s="29">
        <f>'24-Month Projections'!J105+'24-Month Projections'!J106+'24-Month Projections'!J70</f>
        <v/>
      </c>
      <c r="K55" s="29">
        <f>'24-Month Projections'!K105+'24-Month Projections'!K106+'24-Month Projections'!K70</f>
        <v/>
      </c>
      <c r="L55" s="29">
        <f>'24-Month Projections'!L105+'24-Month Projections'!L106+'24-Month Projections'!L70</f>
        <v/>
      </c>
      <c r="M55" s="29">
        <f>'24-Month Projections'!M105+'24-Month Projections'!M106+'24-Month Projections'!M70</f>
        <v/>
      </c>
      <c r="N55" s="29">
        <f>'24-Month Projections'!N105+'24-Month Projections'!N106+'24-Month Projections'!N70</f>
        <v/>
      </c>
      <c r="O55" s="29">
        <f>'24-Month Projections'!O105+'24-Month Projections'!O106+'24-Month Projections'!O70</f>
        <v/>
      </c>
      <c r="P55" s="29">
        <f>'24-Month Projections'!P105+'24-Month Projections'!P106+'24-Month Projections'!P70</f>
        <v/>
      </c>
      <c r="Q55" s="29">
        <f>'24-Month Projections'!Q105+'24-Month Projections'!Q106+'24-Month Projections'!Q70</f>
        <v/>
      </c>
      <c r="R55" s="29">
        <f>'24-Month Projections'!R105+'24-Month Projections'!R106+'24-Month Projections'!R70</f>
        <v/>
      </c>
      <c r="S55" s="29">
        <f>'24-Month Projections'!S105+'24-Month Projections'!S106+'24-Month Projections'!S70</f>
        <v/>
      </c>
      <c r="T55" s="29">
        <f>'24-Month Projections'!T105+'24-Month Projections'!T106+'24-Month Projections'!T70</f>
        <v/>
      </c>
      <c r="U55" s="29">
        <f>'24-Month Projections'!U105+'24-Month Projections'!U106+'24-Month Projections'!U70</f>
        <v/>
      </c>
      <c r="V55" s="29">
        <f>'24-Month Projections'!V105+'24-Month Projections'!V106+'24-Month Projections'!V70</f>
        <v/>
      </c>
      <c r="W55" s="29">
        <f>'24-Month Projections'!W105+'24-Month Projections'!W106+'24-Month Projections'!W70</f>
        <v/>
      </c>
      <c r="X55" s="29">
        <f>'24-Month Projections'!X105+'24-Month Projections'!X106+'24-Month Projections'!X70</f>
        <v/>
      </c>
      <c r="Y55" s="29">
        <f>'24-Month Projections'!Y105+'24-Month Projections'!Y106+'24-Month Projections'!Y70</f>
        <v/>
      </c>
      <c r="Z55" s="29">
        <f>'24-Month Projections'!Z105+'24-Month Projections'!Z106+'24-Month Projections'!Z70</f>
        <v/>
      </c>
    </row>
    <row r="56">
      <c r="B56" s="30" t="inlineStr">
        <is>
          <t>Cash Basis EBITDA (after returns)</t>
        </is>
      </c>
      <c r="C56" s="31">
        <f>'24-Month Projections'!C104-C55</f>
        <v/>
      </c>
      <c r="D56" s="31">
        <f>'24-Month Projections'!D104-D55</f>
        <v/>
      </c>
      <c r="E56" s="31">
        <f>'24-Month Projections'!E104-E55</f>
        <v/>
      </c>
      <c r="F56" s="31">
        <f>'24-Month Projections'!F104-F55</f>
        <v/>
      </c>
      <c r="G56" s="31">
        <f>'24-Month Projections'!G104-G55</f>
        <v/>
      </c>
      <c r="H56" s="31">
        <f>'24-Month Projections'!H104-H55</f>
        <v/>
      </c>
      <c r="I56" s="31">
        <f>'24-Month Projections'!I104-I55</f>
        <v/>
      </c>
      <c r="J56" s="31">
        <f>'24-Month Projections'!J104-J55</f>
        <v/>
      </c>
      <c r="K56" s="31">
        <f>'24-Month Projections'!K104-K55</f>
        <v/>
      </c>
      <c r="L56" s="31">
        <f>'24-Month Projections'!L104-L55</f>
        <v/>
      </c>
      <c r="M56" s="31">
        <f>'24-Month Projections'!M104-M55</f>
        <v/>
      </c>
      <c r="N56" s="31">
        <f>'24-Month Projections'!N104-N55</f>
        <v/>
      </c>
      <c r="O56" s="31">
        <f>'24-Month Projections'!O104-O55</f>
        <v/>
      </c>
      <c r="P56" s="31">
        <f>'24-Month Projections'!P104-P55</f>
        <v/>
      </c>
      <c r="Q56" s="31">
        <f>'24-Month Projections'!Q104-Q55</f>
        <v/>
      </c>
      <c r="R56" s="31">
        <f>'24-Month Projections'!R104-R55</f>
        <v/>
      </c>
      <c r="S56" s="31">
        <f>'24-Month Projections'!S104-S55</f>
        <v/>
      </c>
      <c r="T56" s="31">
        <f>'24-Month Projections'!T104-T55</f>
        <v/>
      </c>
      <c r="U56" s="31">
        <f>'24-Month Projections'!U104-U55</f>
        <v/>
      </c>
      <c r="V56" s="31">
        <f>'24-Month Projections'!V104-V55</f>
        <v/>
      </c>
      <c r="W56" s="31">
        <f>'24-Month Projections'!W104-W55</f>
        <v/>
      </c>
      <c r="X56" s="31">
        <f>'24-Month Projections'!X104-X55</f>
        <v/>
      </c>
      <c r="Y56" s="31">
        <f>'24-Month Projections'!Y104-Y55</f>
        <v/>
      </c>
      <c r="Z56" s="31">
        <f>'24-Month Projections'!Z104-Z55</f>
        <v/>
      </c>
    </row>
    <row r="57">
      <c r="B57" s="57" t="inlineStr">
        <is>
          <t>Hybrid EBITDA (after returns)</t>
        </is>
      </c>
      <c r="C57" s="17">
        <f>C26-'24-Month Projections'!C94-C55</f>
        <v/>
      </c>
      <c r="D57" s="17">
        <f>D26-'24-Month Projections'!D94-D55</f>
        <v/>
      </c>
      <c r="E57" s="17">
        <f>E26-'24-Month Projections'!E94-E55</f>
        <v/>
      </c>
      <c r="F57" s="17">
        <f>F26-'24-Month Projections'!F94-F55</f>
        <v/>
      </c>
      <c r="G57" s="17">
        <f>G26-'24-Month Projections'!G94-G55</f>
        <v/>
      </c>
      <c r="H57" s="17">
        <f>H26-'24-Month Projections'!H94-H55</f>
        <v/>
      </c>
      <c r="I57" s="17">
        <f>I26-'24-Month Projections'!I94-I55</f>
        <v/>
      </c>
      <c r="J57" s="17">
        <f>J26-'24-Month Projections'!J94-J55</f>
        <v/>
      </c>
      <c r="K57" s="17">
        <f>K26-'24-Month Projections'!K94-K55</f>
        <v/>
      </c>
      <c r="L57" s="17">
        <f>L26-'24-Month Projections'!L94-L55</f>
        <v/>
      </c>
      <c r="M57" s="17">
        <f>M26-'24-Month Projections'!M94-M55</f>
        <v/>
      </c>
      <c r="N57" s="17">
        <f>N26-'24-Month Projections'!N94-N55</f>
        <v/>
      </c>
      <c r="O57" s="17">
        <f>O26-'24-Month Projections'!O94-O55</f>
        <v/>
      </c>
      <c r="P57" s="17">
        <f>P26-'24-Month Projections'!P94-P55</f>
        <v/>
      </c>
      <c r="Q57" s="17">
        <f>Q26-'24-Month Projections'!Q94-Q55</f>
        <v/>
      </c>
      <c r="R57" s="17">
        <f>R26-'24-Month Projections'!R94-R55</f>
        <v/>
      </c>
      <c r="S57" s="17">
        <f>S26-'24-Month Projections'!S94-S55</f>
        <v/>
      </c>
      <c r="T57" s="17">
        <f>T26-'24-Month Projections'!T94-T55</f>
        <v/>
      </c>
      <c r="U57" s="17">
        <f>U26-'24-Month Projections'!U94-U55</f>
        <v/>
      </c>
      <c r="V57" s="17">
        <f>V26-'24-Month Projections'!V94-V55</f>
        <v/>
      </c>
      <c r="W57" s="17">
        <f>W26-'24-Month Projections'!W94-W55</f>
        <v/>
      </c>
      <c r="X57" s="17">
        <f>X26-'24-Month Projections'!X94-X55</f>
        <v/>
      </c>
      <c r="Y57" s="17">
        <f>Y26-'24-Month Projections'!Y94-Y55</f>
        <v/>
      </c>
      <c r="Z57" s="17">
        <f>Z26-'24-Month Projections'!Z94-Z55</f>
        <v/>
      </c>
    </row>
    <row r="58">
      <c r="B58" s="58" t="inlineStr">
        <is>
          <t>Straight-Line EBITDA (after returns)</t>
        </is>
      </c>
      <c r="C58" s="60">
        <f>C31-'24-Month Projections'!C94-C55</f>
        <v/>
      </c>
      <c r="D58" s="60">
        <f>D31-'24-Month Projections'!D94-D55</f>
        <v/>
      </c>
      <c r="E58" s="60">
        <f>E31-'24-Month Projections'!E94-E55</f>
        <v/>
      </c>
      <c r="F58" s="60">
        <f>F31-'24-Month Projections'!F94-F55</f>
        <v/>
      </c>
      <c r="G58" s="60">
        <f>G31-'24-Month Projections'!G94-G55</f>
        <v/>
      </c>
      <c r="H58" s="60">
        <f>H31-'24-Month Projections'!H94-H55</f>
        <v/>
      </c>
      <c r="I58" s="60">
        <f>I31-'24-Month Projections'!I94-I55</f>
        <v/>
      </c>
      <c r="J58" s="60">
        <f>J31-'24-Month Projections'!J94-J55</f>
        <v/>
      </c>
      <c r="K58" s="60">
        <f>K31-'24-Month Projections'!K94-K55</f>
        <v/>
      </c>
      <c r="L58" s="60">
        <f>L31-'24-Month Projections'!L94-L55</f>
        <v/>
      </c>
      <c r="M58" s="60">
        <f>M31-'24-Month Projections'!M94-M55</f>
        <v/>
      </c>
      <c r="N58" s="60">
        <f>N31-'24-Month Projections'!N94-N55</f>
        <v/>
      </c>
      <c r="O58" s="60">
        <f>O31-'24-Month Projections'!O94-O55</f>
        <v/>
      </c>
      <c r="P58" s="60">
        <f>P31-'24-Month Projections'!P94-P55</f>
        <v/>
      </c>
      <c r="Q58" s="60">
        <f>Q31-'24-Month Projections'!Q94-Q55</f>
        <v/>
      </c>
      <c r="R58" s="60">
        <f>R31-'24-Month Projections'!R94-R55</f>
        <v/>
      </c>
      <c r="S58" s="60">
        <f>S31-'24-Month Projections'!S94-S55</f>
        <v/>
      </c>
      <c r="T58" s="60">
        <f>T31-'24-Month Projections'!T94-T55</f>
        <v/>
      </c>
      <c r="U58" s="60">
        <f>U31-'24-Month Projections'!U94-U55</f>
        <v/>
      </c>
      <c r="V58" s="60">
        <f>V31-'24-Month Projections'!V94-V55</f>
        <v/>
      </c>
      <c r="W58" s="60">
        <f>W31-'24-Month Projections'!W94-W55</f>
        <v/>
      </c>
      <c r="X58" s="60">
        <f>X31-'24-Month Projections'!X94-X55</f>
        <v/>
      </c>
      <c r="Y58" s="60">
        <f>Y31-'24-Month Projections'!Y94-Y55</f>
        <v/>
      </c>
      <c r="Z58" s="60">
        <f>Z31-'24-Month Projections'!Z94-Z55</f>
        <v/>
      </c>
    </row>
    <row r="60">
      <c r="B60" s="3" t="inlineStr">
        <is>
          <t>ESCROW HEALTH — Can deferred revenue cover future hosting?</t>
        </is>
      </c>
    </row>
    <row r="61">
      <c r="B61" s="5" t="inlineStr">
        <is>
          <t>Est. Future Hosting Obligation (net active charms x monthly cost x lifetime)</t>
        </is>
      </c>
      <c r="C61" s="29">
        <f>(C15*'Per-Charm Costs'!C56*$G$6 + C16*'Per-Charm Costs'!C56*$H$6 + C17*'Per-Charm Costs'!C56*$I$6)</f>
        <v/>
      </c>
      <c r="D61" s="29">
        <f>(D15*'Per-Charm Costs'!C56*$G$6 + D16*'Per-Charm Costs'!C56*$H$6 + D17*'Per-Charm Costs'!C56*$I$6)</f>
        <v/>
      </c>
      <c r="E61" s="29">
        <f>(E15*'Per-Charm Costs'!C56*$G$6 + E16*'Per-Charm Costs'!C56*$H$6 + E17*'Per-Charm Costs'!C56*$I$6)</f>
        <v/>
      </c>
      <c r="F61" s="29">
        <f>(F15*'Per-Charm Costs'!C56*$G$6 + F16*'Per-Charm Costs'!C56*$H$6 + F17*'Per-Charm Costs'!C56*$I$6)</f>
        <v/>
      </c>
      <c r="G61" s="29">
        <f>(G15*'Per-Charm Costs'!C56*$G$6 + G16*'Per-Charm Costs'!C56*$H$6 + G17*'Per-Charm Costs'!C56*$I$6)</f>
        <v/>
      </c>
      <c r="H61" s="29">
        <f>(H15*'Per-Charm Costs'!C56*$G$6 + H16*'Per-Charm Costs'!C56*$H$6 + H17*'Per-Charm Costs'!C56*$I$6)</f>
        <v/>
      </c>
      <c r="I61" s="29">
        <f>(I15*'Per-Charm Costs'!C56*$G$6 + I16*'Per-Charm Costs'!C56*$H$6 + I17*'Per-Charm Costs'!C56*$I$6)</f>
        <v/>
      </c>
      <c r="J61" s="29">
        <f>(J15*'Per-Charm Costs'!C56*$G$6 + J16*'Per-Charm Costs'!C56*$H$6 + J17*'Per-Charm Costs'!C56*$I$6)</f>
        <v/>
      </c>
      <c r="K61" s="29">
        <f>(K15*'Per-Charm Costs'!C56*$G$6 + K16*'Per-Charm Costs'!C56*$H$6 + K17*'Per-Charm Costs'!C56*$I$6)</f>
        <v/>
      </c>
      <c r="L61" s="29">
        <f>(L15*'Per-Charm Costs'!C56*$G$6 + L16*'Per-Charm Costs'!C56*$H$6 + L17*'Per-Charm Costs'!C56*$I$6)</f>
        <v/>
      </c>
      <c r="M61" s="29">
        <f>(M15*'Per-Charm Costs'!C56*$G$6 + M16*'Per-Charm Costs'!C56*$H$6 + M17*'Per-Charm Costs'!C56*$I$6)</f>
        <v/>
      </c>
      <c r="N61" s="29">
        <f>(N15*'Per-Charm Costs'!C56*$G$6 + N16*'Per-Charm Costs'!C56*$H$6 + N17*'Per-Charm Costs'!C56*$I$6)</f>
        <v/>
      </c>
      <c r="O61" s="29">
        <f>(O15*'Per-Charm Costs'!C56*$G$6 + O16*'Per-Charm Costs'!C56*$H$6 + O17*'Per-Charm Costs'!C56*$I$6)</f>
        <v/>
      </c>
      <c r="P61" s="29">
        <f>(P15*'Per-Charm Costs'!C56*$G$6 + P16*'Per-Charm Costs'!C56*$H$6 + P17*'Per-Charm Costs'!C56*$I$6)</f>
        <v/>
      </c>
      <c r="Q61" s="29">
        <f>(Q15*'Per-Charm Costs'!C56*$G$6 + Q16*'Per-Charm Costs'!C56*$H$6 + Q17*'Per-Charm Costs'!C56*$I$6)</f>
        <v/>
      </c>
      <c r="R61" s="29">
        <f>(R15*'Per-Charm Costs'!C56*$G$6 + R16*'Per-Charm Costs'!C56*$H$6 + R17*'Per-Charm Costs'!C56*$I$6)</f>
        <v/>
      </c>
      <c r="S61" s="29">
        <f>(S15*'Per-Charm Costs'!C56*$G$6 + S16*'Per-Charm Costs'!C56*$H$6 + S17*'Per-Charm Costs'!C56*$I$6)</f>
        <v/>
      </c>
      <c r="T61" s="29">
        <f>(T15*'Per-Charm Costs'!C56*$G$6 + T16*'Per-Charm Costs'!C56*$H$6 + T17*'Per-Charm Costs'!C56*$I$6)</f>
        <v/>
      </c>
      <c r="U61" s="29">
        <f>(U15*'Per-Charm Costs'!C56*$G$6 + U16*'Per-Charm Costs'!C56*$H$6 + U17*'Per-Charm Costs'!C56*$I$6)</f>
        <v/>
      </c>
      <c r="V61" s="29">
        <f>(V15*'Per-Charm Costs'!C56*$G$6 + V16*'Per-Charm Costs'!C56*$H$6 + V17*'Per-Charm Costs'!C56*$I$6)</f>
        <v/>
      </c>
      <c r="W61" s="29">
        <f>(W15*'Per-Charm Costs'!C56*$G$6 + W16*'Per-Charm Costs'!C56*$H$6 + W17*'Per-Charm Costs'!C56*$I$6)</f>
        <v/>
      </c>
      <c r="X61" s="29">
        <f>(X15*'Per-Charm Costs'!C56*$G$6 + X16*'Per-Charm Costs'!C56*$H$6 + X17*'Per-Charm Costs'!C56*$I$6)</f>
        <v/>
      </c>
      <c r="Y61" s="29">
        <f>(Y15*'Per-Charm Costs'!C56*$G$6 + Y16*'Per-Charm Costs'!C56*$H$6 + Y17*'Per-Charm Costs'!C56*$I$6)</f>
        <v/>
      </c>
      <c r="Z61" s="29">
        <f>(Z15*'Per-Charm Costs'!C56*$G$6 + Z16*'Per-Charm Costs'!C56*$H$6 + Z17*'Per-Charm Costs'!C56*$I$6)</f>
        <v/>
      </c>
    </row>
    <row r="62">
      <c r="B62" s="57" t="inlineStr">
        <is>
          <t>Hybrid Deferred Revenue Balance (escrow pool)</t>
        </is>
      </c>
      <c r="C62" s="17">
        <f>C46</f>
        <v/>
      </c>
      <c r="D62" s="17">
        <f>D46</f>
        <v/>
      </c>
      <c r="E62" s="17">
        <f>E46</f>
        <v/>
      </c>
      <c r="F62" s="17">
        <f>F46</f>
        <v/>
      </c>
      <c r="G62" s="17">
        <f>G46</f>
        <v/>
      </c>
      <c r="H62" s="17">
        <f>H46</f>
        <v/>
      </c>
      <c r="I62" s="17">
        <f>I46</f>
        <v/>
      </c>
      <c r="J62" s="17">
        <f>J46</f>
        <v/>
      </c>
      <c r="K62" s="17">
        <f>K46</f>
        <v/>
      </c>
      <c r="L62" s="17">
        <f>L46</f>
        <v/>
      </c>
      <c r="M62" s="17">
        <f>M46</f>
        <v/>
      </c>
      <c r="N62" s="17">
        <f>N46</f>
        <v/>
      </c>
      <c r="O62" s="17">
        <f>O46</f>
        <v/>
      </c>
      <c r="P62" s="17">
        <f>P46</f>
        <v/>
      </c>
      <c r="Q62" s="17">
        <f>Q46</f>
        <v/>
      </c>
      <c r="R62" s="17">
        <f>R46</f>
        <v/>
      </c>
      <c r="S62" s="17">
        <f>S46</f>
        <v/>
      </c>
      <c r="T62" s="17">
        <f>T46</f>
        <v/>
      </c>
      <c r="U62" s="17">
        <f>U46</f>
        <v/>
      </c>
      <c r="V62" s="17">
        <f>V46</f>
        <v/>
      </c>
      <c r="W62" s="17">
        <f>W46</f>
        <v/>
      </c>
      <c r="X62" s="17">
        <f>X46</f>
        <v/>
      </c>
      <c r="Y62" s="17">
        <f>Y46</f>
        <v/>
      </c>
      <c r="Z62" s="17">
        <f>Z46</f>
        <v/>
      </c>
    </row>
    <row r="63">
      <c r="B63" s="12" t="inlineStr">
        <is>
          <t>COVERAGE RATIO (deferred balance / hosting obligation)</t>
        </is>
      </c>
      <c r="C63" s="13">
        <f>IF(C61&gt;0,C62/C61,0)</f>
        <v/>
      </c>
      <c r="D63" s="13">
        <f>IF(D61&gt;0,D62/D61,0)</f>
        <v/>
      </c>
      <c r="E63" s="13">
        <f>IF(E61&gt;0,E62/E61,0)</f>
        <v/>
      </c>
      <c r="F63" s="64" t="inlineStr">
        <is>
          <t>&gt; 100% = escrow covers all future hosting. &lt; 100% = shortfall risk.</t>
        </is>
      </c>
      <c r="G63" s="13">
        <f>IF(G61&gt;0,G62/G61,0)</f>
        <v/>
      </c>
      <c r="H63" s="13">
        <f>IF(H61&gt;0,H62/H61,0)</f>
        <v/>
      </c>
      <c r="I63" s="13">
        <f>IF(I61&gt;0,I62/I61,0)</f>
        <v/>
      </c>
      <c r="J63" s="13">
        <f>IF(J61&gt;0,J62/J61,0)</f>
        <v/>
      </c>
      <c r="K63" s="13">
        <f>IF(K61&gt;0,K62/K61,0)</f>
        <v/>
      </c>
      <c r="L63" s="13">
        <f>IF(L61&gt;0,L62/L61,0)</f>
        <v/>
      </c>
      <c r="M63" s="13">
        <f>IF(M61&gt;0,M62/M61,0)</f>
        <v/>
      </c>
      <c r="N63" s="13">
        <f>IF(N61&gt;0,N62/N61,0)</f>
        <v/>
      </c>
      <c r="O63" s="13">
        <f>IF(O61&gt;0,O62/O61,0)</f>
        <v/>
      </c>
      <c r="P63" s="13">
        <f>IF(P61&gt;0,P62/P61,0)</f>
        <v/>
      </c>
      <c r="Q63" s="13">
        <f>IF(Q61&gt;0,Q62/Q61,0)</f>
        <v/>
      </c>
      <c r="R63" s="13">
        <f>IF(R61&gt;0,R62/R61,0)</f>
        <v/>
      </c>
      <c r="S63" s="13">
        <f>IF(S61&gt;0,S62/S61,0)</f>
        <v/>
      </c>
      <c r="T63" s="13">
        <f>IF(T61&gt;0,T62/T61,0)</f>
        <v/>
      </c>
      <c r="U63" s="13">
        <f>IF(U61&gt;0,U62/U61,0)</f>
        <v/>
      </c>
      <c r="V63" s="13">
        <f>IF(V61&gt;0,V62/V61,0)</f>
        <v/>
      </c>
      <c r="W63" s="13">
        <f>IF(W61&gt;0,W62/W61,0)</f>
        <v/>
      </c>
      <c r="X63" s="13">
        <f>IF(X61&gt;0,X62/X61,0)</f>
        <v/>
      </c>
      <c r="Y63" s="13">
        <f>IF(Y61&gt;0,Y62/Y61,0)</f>
        <v/>
      </c>
      <c r="Z63" s="13">
        <f>IF(Z61&gt;0,Z62/Z61,0)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2026-02-14T01:30:50Z</dcterms:created>
  <dcterms:modified xsi:type="dcterms:W3CDTF">2026-02-14T01:30:50Z</dcterms:modified>
</cp:coreProperties>
</file>