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ppli\source\repos\MemoryCharm\"/>
    </mc:Choice>
  </mc:AlternateContent>
  <xr:revisionPtr revIDLastSave="0" documentId="13_ncr:1_{A9F1FB59-C599-4D9C-A10E-0CD359C3FB5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Assumptions" sheetId="1" r:id="rId1"/>
    <sheet name="24-Month Projections" sheetId="2" r:id="rId2"/>
    <sheet name="Annual Summary" sheetId="3" r:id="rId3"/>
    <sheet name="Scenario Notes" sheetId="4" r:id="rId4"/>
    <sheet name="Per-Charm Costs" sheetId="5" r:id="rId5"/>
    <sheet name="Revenue Recogni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6" l="1"/>
  <c r="D7" i="6"/>
  <c r="C7" i="6"/>
  <c r="C85" i="5"/>
  <c r="C84" i="5"/>
  <c r="C83" i="5"/>
  <c r="C82" i="5"/>
  <c r="C81" i="5"/>
  <c r="C80" i="5"/>
  <c r="C53" i="5"/>
  <c r="C54" i="5" s="1"/>
  <c r="C75" i="5" s="1"/>
  <c r="C42" i="5"/>
  <c r="C23" i="5"/>
  <c r="C22" i="5"/>
  <c r="C21" i="5"/>
  <c r="C20" i="5"/>
  <c r="C19" i="5"/>
  <c r="C24" i="5" s="1"/>
  <c r="C14" i="5"/>
  <c r="C12" i="5"/>
  <c r="C10" i="5"/>
  <c r="C9" i="5"/>
  <c r="C11" i="5" s="1"/>
  <c r="C69" i="2"/>
  <c r="D69" i="2" s="1"/>
  <c r="E69" i="2" s="1"/>
  <c r="F69" i="2" s="1"/>
  <c r="G69" i="2" s="1"/>
  <c r="H69" i="2" s="1"/>
  <c r="I69" i="2" s="1"/>
  <c r="J69" i="2" s="1"/>
  <c r="K69" i="2" s="1"/>
  <c r="L69" i="2" s="1"/>
  <c r="M69" i="2" s="1"/>
  <c r="N69" i="2" s="1"/>
  <c r="O69" i="2" s="1"/>
  <c r="P69" i="2" s="1"/>
  <c r="Q69" i="2" s="1"/>
  <c r="R69" i="2" s="1"/>
  <c r="S69" i="2" s="1"/>
  <c r="T69" i="2" s="1"/>
  <c r="U69" i="2" s="1"/>
  <c r="V69" i="2" s="1"/>
  <c r="W69" i="2" s="1"/>
  <c r="X69" i="2" s="1"/>
  <c r="Y69" i="2" s="1"/>
  <c r="Z69" i="2" s="1"/>
  <c r="C68" i="2"/>
  <c r="C65" i="2"/>
  <c r="D65" i="2" s="1"/>
  <c r="C8" i="2"/>
  <c r="C7" i="2"/>
  <c r="C6" i="2"/>
  <c r="D32" i="1"/>
  <c r="E31" i="1"/>
  <c r="E30" i="1"/>
  <c r="E29" i="1"/>
  <c r="C33" i="1" s="1"/>
  <c r="C7" i="5" s="1"/>
  <c r="C8" i="5" s="1"/>
  <c r="E14" i="1"/>
  <c r="E13" i="1"/>
  <c r="E12" i="1"/>
  <c r="E8" i="1"/>
  <c r="E7" i="1"/>
  <c r="E6" i="1"/>
  <c r="E12" i="6" l="1"/>
  <c r="E8" i="6"/>
  <c r="E9" i="6" s="1"/>
  <c r="E10" i="6" s="1"/>
  <c r="E11" i="6" s="1"/>
  <c r="D12" i="6"/>
  <c r="D8" i="6"/>
  <c r="D9" i="6" s="1"/>
  <c r="D10" i="6" s="1"/>
  <c r="D11" i="6" s="1"/>
  <c r="C12" i="6"/>
  <c r="C8" i="6"/>
  <c r="C9" i="6" s="1"/>
  <c r="C15" i="5"/>
  <c r="C44" i="5" s="1"/>
  <c r="C13" i="5"/>
  <c r="C36" i="5"/>
  <c r="C43" i="5"/>
  <c r="C48" i="5"/>
  <c r="D83" i="5"/>
  <c r="C30" i="5"/>
  <c r="C37" i="5"/>
  <c r="C38" i="5"/>
  <c r="D85" i="5"/>
  <c r="D84" i="5"/>
  <c r="C31" i="5"/>
  <c r="C49" i="5"/>
  <c r="D80" i="5"/>
  <c r="D81" i="5"/>
  <c r="D82" i="5"/>
  <c r="D68" i="2"/>
  <c r="E68" i="2" s="1"/>
  <c r="F68" i="2" s="1"/>
  <c r="G68" i="2" s="1"/>
  <c r="H68" i="2" s="1"/>
  <c r="I68" i="2" s="1"/>
  <c r="J68" i="2" s="1"/>
  <c r="E65" i="2"/>
  <c r="C17" i="6"/>
  <c r="C57" i="2"/>
  <c r="C48" i="2"/>
  <c r="D8" i="2"/>
  <c r="C16" i="6"/>
  <c r="C56" i="2"/>
  <c r="C47" i="2"/>
  <c r="D7" i="2"/>
  <c r="C18" i="6"/>
  <c r="C49" i="6"/>
  <c r="C15" i="6"/>
  <c r="C55" i="2"/>
  <c r="D6" i="2"/>
  <c r="C9" i="2"/>
  <c r="C46" i="2"/>
  <c r="C29" i="5"/>
  <c r="C35" i="5"/>
  <c r="D17" i="6" l="1"/>
  <c r="K68" i="2"/>
  <c r="L68" i="2" s="1"/>
  <c r="M68" i="2" s="1"/>
  <c r="N68" i="2" s="1"/>
  <c r="O68" i="2" s="1"/>
  <c r="C28" i="3"/>
  <c r="P68" i="2"/>
  <c r="E8" i="2"/>
  <c r="D48" i="2"/>
  <c r="D57" i="2"/>
  <c r="E7" i="2"/>
  <c r="D47" i="2"/>
  <c r="D56" i="2"/>
  <c r="D15" i="6"/>
  <c r="C29" i="6"/>
  <c r="E6" i="2"/>
  <c r="D46" i="2"/>
  <c r="D55" i="2"/>
  <c r="D18" i="6"/>
  <c r="D23" i="6"/>
  <c r="D49" i="6"/>
  <c r="D9" i="2"/>
  <c r="C10" i="2"/>
  <c r="C14" i="2"/>
  <c r="C15" i="2" s="1"/>
  <c r="C23" i="2"/>
  <c r="C51" i="2"/>
  <c r="C80" i="2"/>
  <c r="C88" i="2"/>
  <c r="C51" i="6" s="1"/>
  <c r="C91" i="2"/>
  <c r="C66" i="2"/>
  <c r="D16" i="6"/>
  <c r="E16" i="6" s="1"/>
  <c r="C45" i="5"/>
  <c r="C73" i="5" s="1"/>
  <c r="C50" i="5"/>
  <c r="C32" i="5"/>
  <c r="C39" i="5"/>
  <c r="C72" i="5" s="1"/>
  <c r="C23" i="6"/>
  <c r="C10" i="6"/>
  <c r="D43" i="6" s="1"/>
  <c r="F65" i="2"/>
  <c r="G65" i="2" s="1"/>
  <c r="H65" i="2" s="1"/>
  <c r="I65" i="2" l="1"/>
  <c r="J65" i="2" s="1"/>
  <c r="K65" i="2" s="1"/>
  <c r="L65" i="2" s="1"/>
  <c r="M65" i="2" s="1"/>
  <c r="N65" i="2" s="1"/>
  <c r="O65" i="2" s="1"/>
  <c r="C25" i="3"/>
  <c r="E17" i="6"/>
  <c r="F8" i="2"/>
  <c r="E48" i="2"/>
  <c r="E57" i="2"/>
  <c r="F7" i="2"/>
  <c r="E47" i="2"/>
  <c r="E56" i="2"/>
  <c r="E15" i="6"/>
  <c r="D29" i="6"/>
  <c r="C50" i="6"/>
  <c r="C52" i="6" s="1"/>
  <c r="F6" i="2"/>
  <c r="E46" i="2"/>
  <c r="E55" i="2"/>
  <c r="E18" i="6"/>
  <c r="E23" i="6"/>
  <c r="E43" i="6"/>
  <c r="E49" i="6"/>
  <c r="E9" i="2"/>
  <c r="D14" i="2"/>
  <c r="D23" i="2"/>
  <c r="D51" i="2"/>
  <c r="D66" i="2"/>
  <c r="D80" i="2"/>
  <c r="D88" i="2"/>
  <c r="D91" i="2"/>
  <c r="D100" i="2" s="1"/>
  <c r="D10" i="2"/>
  <c r="C11" i="2"/>
  <c r="C50" i="2"/>
  <c r="C49" i="2"/>
  <c r="C58" i="2"/>
  <c r="C59" i="2" s="1"/>
  <c r="D15" i="2"/>
  <c r="C16" i="2"/>
  <c r="C36" i="2" s="1"/>
  <c r="C17" i="2"/>
  <c r="C31" i="2" s="1"/>
  <c r="C84" i="2"/>
  <c r="C25" i="2"/>
  <c r="C32" i="2" s="1"/>
  <c r="C37" i="2"/>
  <c r="C89" i="2"/>
  <c r="C95" i="2"/>
  <c r="C106" i="2" s="1"/>
  <c r="C96" i="2"/>
  <c r="C100" i="2"/>
  <c r="E84" i="5"/>
  <c r="F84" i="5" s="1"/>
  <c r="G84" i="5" s="1"/>
  <c r="E85" i="5"/>
  <c r="F85" i="5" s="1"/>
  <c r="G85" i="5" s="1"/>
  <c r="E82" i="5"/>
  <c r="F82" i="5" s="1"/>
  <c r="G82" i="5" s="1"/>
  <c r="E80" i="5"/>
  <c r="F80" i="5" s="1"/>
  <c r="G80" i="5" s="1"/>
  <c r="E83" i="5"/>
  <c r="F83" i="5" s="1"/>
  <c r="G83" i="5" s="1"/>
  <c r="E81" i="5"/>
  <c r="F81" i="5" s="1"/>
  <c r="G81" i="5" s="1"/>
  <c r="C74" i="5"/>
  <c r="C71" i="5"/>
  <c r="C56" i="5"/>
  <c r="D61" i="6" s="1"/>
  <c r="C43" i="6"/>
  <c r="C11" i="6"/>
  <c r="P65" i="2"/>
  <c r="Q68" i="2"/>
  <c r="D45" i="6" l="1"/>
  <c r="D51" i="6"/>
  <c r="C98" i="2"/>
  <c r="C90" i="2"/>
  <c r="C97" i="2" s="1"/>
  <c r="R68" i="2"/>
  <c r="S68" i="2" s="1"/>
  <c r="T68" i="2" s="1"/>
  <c r="U68" i="2" s="1"/>
  <c r="V68" i="2" s="1"/>
  <c r="W68" i="2" s="1"/>
  <c r="X68" i="2" s="1"/>
  <c r="Y68" i="2" s="1"/>
  <c r="Z68" i="2" s="1"/>
  <c r="D28" i="3"/>
  <c r="E28" i="3" s="1"/>
  <c r="G8" i="2"/>
  <c r="F48" i="2"/>
  <c r="F57" i="2"/>
  <c r="F16" i="6"/>
  <c r="G7" i="2"/>
  <c r="F47" i="2"/>
  <c r="F56" i="2"/>
  <c r="F15" i="6"/>
  <c r="E24" i="6"/>
  <c r="E29" i="6"/>
  <c r="E61" i="6"/>
  <c r="D50" i="6"/>
  <c r="D52" i="6" s="1"/>
  <c r="G6" i="2"/>
  <c r="F46" i="2"/>
  <c r="F55" i="2"/>
  <c r="F18" i="6"/>
  <c r="F23" i="6"/>
  <c r="F43" i="6"/>
  <c r="F49" i="6"/>
  <c r="F9" i="2"/>
  <c r="E14" i="2"/>
  <c r="E23" i="2"/>
  <c r="E51" i="2"/>
  <c r="E66" i="2"/>
  <c r="E80" i="2"/>
  <c r="E88" i="2"/>
  <c r="E91" i="2"/>
  <c r="E45" i="6"/>
  <c r="E51" i="6"/>
  <c r="D25" i="2"/>
  <c r="D32" i="2" s="1"/>
  <c r="D37" i="2"/>
  <c r="D89" i="2"/>
  <c r="D90" i="2"/>
  <c r="D95" i="2"/>
  <c r="D96" i="2"/>
  <c r="E10" i="2"/>
  <c r="D11" i="2"/>
  <c r="D50" i="2"/>
  <c r="D49" i="2"/>
  <c r="D58" i="2"/>
  <c r="D59" i="2" s="1"/>
  <c r="C20" i="2"/>
  <c r="C42" i="2"/>
  <c r="C112" i="2"/>
  <c r="D112" i="2" s="1"/>
  <c r="C52" i="2"/>
  <c r="C19" i="6"/>
  <c r="C99" i="2"/>
  <c r="C105" i="2" s="1"/>
  <c r="E15" i="2"/>
  <c r="D16" i="2"/>
  <c r="D36" i="2" s="1"/>
  <c r="D17" i="2"/>
  <c r="D31" i="2" s="1"/>
  <c r="D84" i="2"/>
  <c r="C61" i="6"/>
  <c r="D66" i="5"/>
  <c r="D67" i="5"/>
  <c r="D61" i="5"/>
  <c r="D65" i="5"/>
  <c r="C60" i="5"/>
  <c r="D60" i="5"/>
  <c r="C61" i="5"/>
  <c r="C65" i="5"/>
  <c r="C66" i="5"/>
  <c r="C67" i="5"/>
  <c r="D71" i="5"/>
  <c r="D72" i="5"/>
  <c r="D73" i="5"/>
  <c r="D74" i="5"/>
  <c r="D75" i="5"/>
  <c r="C76" i="5"/>
  <c r="C45" i="6"/>
  <c r="F17" i="6"/>
  <c r="G17" i="6" s="1"/>
  <c r="C24" i="6"/>
  <c r="D24" i="6"/>
  <c r="Q65" i="2"/>
  <c r="R65" i="2" s="1"/>
  <c r="S65" i="2" s="1"/>
  <c r="T65" i="2" s="1"/>
  <c r="U65" i="2" s="1"/>
  <c r="V65" i="2" s="1"/>
  <c r="W65" i="2" s="1"/>
  <c r="X65" i="2" s="1"/>
  <c r="Y65" i="2" s="1"/>
  <c r="Z65" i="2" s="1"/>
  <c r="D25" i="3"/>
  <c r="E25" i="3" s="1"/>
  <c r="G16" i="6" l="1"/>
  <c r="D76" i="5"/>
  <c r="H8" i="2"/>
  <c r="G48" i="2"/>
  <c r="G57" i="2"/>
  <c r="H7" i="2"/>
  <c r="G47" i="2"/>
  <c r="G56" i="2"/>
  <c r="G15" i="6"/>
  <c r="F24" i="6"/>
  <c r="F29" i="6"/>
  <c r="F61" i="6"/>
  <c r="E44" i="6"/>
  <c r="E50" i="6"/>
  <c r="E52" i="6" s="1"/>
  <c r="H6" i="2"/>
  <c r="G46" i="2"/>
  <c r="G55" i="2"/>
  <c r="G18" i="6"/>
  <c r="G23" i="6"/>
  <c r="G43" i="6"/>
  <c r="G49" i="6"/>
  <c r="G9" i="2"/>
  <c r="F14" i="2"/>
  <c r="F23" i="2"/>
  <c r="F51" i="2"/>
  <c r="F80" i="2"/>
  <c r="F88" i="2"/>
  <c r="F91" i="2"/>
  <c r="F100" i="2" s="1"/>
  <c r="F66" i="2"/>
  <c r="F45" i="6"/>
  <c r="F51" i="6"/>
  <c r="E25" i="2"/>
  <c r="E32" i="2" s="1"/>
  <c r="E37" i="2"/>
  <c r="E89" i="2"/>
  <c r="E90" i="2"/>
  <c r="E95" i="2"/>
  <c r="E96" i="2"/>
  <c r="E100" i="2"/>
  <c r="F10" i="2"/>
  <c r="E11" i="2"/>
  <c r="E58" i="2"/>
  <c r="E59" i="2" s="1"/>
  <c r="E49" i="2"/>
  <c r="E50" i="2"/>
  <c r="D20" i="2"/>
  <c r="D42" i="2"/>
  <c r="D52" i="2"/>
  <c r="D19" i="6"/>
  <c r="D99" i="2"/>
  <c r="C28" i="2"/>
  <c r="C26" i="2"/>
  <c r="C24" i="2"/>
  <c r="C38" i="2" s="1"/>
  <c r="C39" i="2" s="1"/>
  <c r="C21" i="2"/>
  <c r="C27" i="2"/>
  <c r="C40" i="2" s="1"/>
  <c r="C22" i="2"/>
  <c r="C41" i="2" s="1"/>
  <c r="C67" i="2"/>
  <c r="C60" i="2"/>
  <c r="C61" i="2" s="1"/>
  <c r="C94" i="2"/>
  <c r="C81" i="2"/>
  <c r="C20" i="6"/>
  <c r="C34" i="6" s="1"/>
  <c r="C25" i="6"/>
  <c r="C26" i="6" s="1"/>
  <c r="C30" i="6"/>
  <c r="C31" i="6" s="1"/>
  <c r="F15" i="2"/>
  <c r="E16" i="2"/>
  <c r="E36" i="2" s="1"/>
  <c r="E17" i="2"/>
  <c r="E31" i="2" s="1"/>
  <c r="E84" i="2"/>
  <c r="F66" i="5"/>
  <c r="E66" i="5"/>
  <c r="F67" i="5"/>
  <c r="E67" i="5"/>
  <c r="F65" i="5"/>
  <c r="E65" i="5"/>
  <c r="C44" i="6"/>
  <c r="C46" i="6" s="1"/>
  <c r="D44" i="6"/>
  <c r="D97" i="2"/>
  <c r="D98" i="2"/>
  <c r="D106" i="2"/>
  <c r="D105" i="2" l="1"/>
  <c r="H17" i="6"/>
  <c r="I8" i="2"/>
  <c r="H48" i="2"/>
  <c r="H57" i="2"/>
  <c r="H16" i="6"/>
  <c r="I7" i="2"/>
  <c r="H47" i="2"/>
  <c r="H56" i="2"/>
  <c r="H15" i="6"/>
  <c r="G24" i="6"/>
  <c r="G29" i="6"/>
  <c r="G61" i="6"/>
  <c r="F44" i="6"/>
  <c r="F50" i="6"/>
  <c r="F52" i="6" s="1"/>
  <c r="I6" i="2"/>
  <c r="H46" i="2"/>
  <c r="H55" i="2"/>
  <c r="H18" i="6"/>
  <c r="H23" i="6"/>
  <c r="H43" i="6"/>
  <c r="H49" i="6"/>
  <c r="H9" i="2"/>
  <c r="G14" i="2"/>
  <c r="G15" i="2" s="1"/>
  <c r="G23" i="2"/>
  <c r="G51" i="2"/>
  <c r="G66" i="2"/>
  <c r="G80" i="2"/>
  <c r="G88" i="2"/>
  <c r="G91" i="2"/>
  <c r="F25" i="2"/>
  <c r="F32" i="2" s="1"/>
  <c r="F37" i="2"/>
  <c r="F89" i="2"/>
  <c r="F90" i="2"/>
  <c r="F95" i="2"/>
  <c r="F96" i="2"/>
  <c r="E112" i="2"/>
  <c r="F112" i="2" s="1"/>
  <c r="E97" i="2"/>
  <c r="G10" i="2"/>
  <c r="F11" i="2"/>
  <c r="F49" i="2"/>
  <c r="F50" i="2"/>
  <c r="F58" i="2"/>
  <c r="F59" i="2" s="1"/>
  <c r="E20" i="2"/>
  <c r="E42" i="2"/>
  <c r="E99" i="2"/>
  <c r="E105" i="2"/>
  <c r="E52" i="2"/>
  <c r="E19" i="6"/>
  <c r="D28" i="2"/>
  <c r="D26" i="2"/>
  <c r="D24" i="2"/>
  <c r="D38" i="2" s="1"/>
  <c r="D39" i="2" s="1"/>
  <c r="D21" i="2"/>
  <c r="D22" i="2"/>
  <c r="D41" i="2" s="1"/>
  <c r="D27" i="2"/>
  <c r="D40" i="2" s="1"/>
  <c r="D60" i="2"/>
  <c r="D61" i="2"/>
  <c r="D67" i="2"/>
  <c r="D94" i="2"/>
  <c r="D81" i="2"/>
  <c r="D20" i="6"/>
  <c r="D34" i="6" s="1"/>
  <c r="D25" i="6"/>
  <c r="D26" i="6" s="1"/>
  <c r="D30" i="6"/>
  <c r="D31" i="6" s="1"/>
  <c r="C33" i="2"/>
  <c r="C34" i="2"/>
  <c r="C36" i="6"/>
  <c r="C38" i="6" s="1"/>
  <c r="F16" i="2"/>
  <c r="F36" i="2" s="1"/>
  <c r="F17" i="2"/>
  <c r="F31" i="2" s="1"/>
  <c r="F84" i="2"/>
  <c r="D46" i="6"/>
  <c r="C62" i="6"/>
  <c r="C63" i="6" s="1"/>
  <c r="C35" i="6"/>
  <c r="C37" i="6" s="1"/>
  <c r="E98" i="2"/>
  <c r="E106" i="2"/>
  <c r="C101" i="2"/>
  <c r="C113" i="2" s="1"/>
  <c r="C104" i="2"/>
  <c r="F106" i="2" l="1"/>
  <c r="J8" i="2"/>
  <c r="I48" i="2"/>
  <c r="I57" i="2"/>
  <c r="J7" i="2"/>
  <c r="I47" i="2"/>
  <c r="I56" i="2"/>
  <c r="I15" i="6"/>
  <c r="H24" i="6"/>
  <c r="H29" i="6"/>
  <c r="H61" i="6"/>
  <c r="G44" i="6"/>
  <c r="G50" i="6"/>
  <c r="G52" i="6" s="1"/>
  <c r="J6" i="2"/>
  <c r="I46" i="2"/>
  <c r="I55" i="2"/>
  <c r="I18" i="6"/>
  <c r="I23" i="6"/>
  <c r="I43" i="6"/>
  <c r="I49" i="6"/>
  <c r="I9" i="2"/>
  <c r="H14" i="2"/>
  <c r="H15" i="2" s="1"/>
  <c r="H23" i="2"/>
  <c r="H51" i="2"/>
  <c r="H80" i="2"/>
  <c r="H88" i="2"/>
  <c r="H91" i="2"/>
  <c r="H100" i="2" s="1"/>
  <c r="H66" i="2"/>
  <c r="H45" i="6"/>
  <c r="H51" i="6"/>
  <c r="G25" i="2"/>
  <c r="G32" i="2" s="1"/>
  <c r="G37" i="2"/>
  <c r="G89" i="2"/>
  <c r="G90" i="2"/>
  <c r="G95" i="2"/>
  <c r="G96" i="2"/>
  <c r="G100" i="2"/>
  <c r="H10" i="2"/>
  <c r="G11" i="2"/>
  <c r="G50" i="2"/>
  <c r="G49" i="2"/>
  <c r="G58" i="2"/>
  <c r="G59" i="2" s="1"/>
  <c r="F20" i="2"/>
  <c r="F42" i="2"/>
  <c r="F52" i="2"/>
  <c r="F19" i="6"/>
  <c r="F99" i="2"/>
  <c r="E28" i="2"/>
  <c r="E26" i="2"/>
  <c r="E24" i="2"/>
  <c r="E38" i="2" s="1"/>
  <c r="E39" i="2" s="1"/>
  <c r="E21" i="2"/>
  <c r="E67" i="2"/>
  <c r="E60" i="2"/>
  <c r="E61" i="2" s="1"/>
  <c r="E94" i="2"/>
  <c r="E81" i="2"/>
  <c r="E20" i="6"/>
  <c r="E34" i="6" s="1"/>
  <c r="E25" i="6"/>
  <c r="E26" i="6" s="1"/>
  <c r="E30" i="6"/>
  <c r="E31" i="6" s="1"/>
  <c r="D33" i="2"/>
  <c r="D34" i="2"/>
  <c r="D36" i="6"/>
  <c r="D38" i="6" s="1"/>
  <c r="G16" i="2"/>
  <c r="G36" i="2" s="1"/>
  <c r="G17" i="2"/>
  <c r="G31" i="2" s="1"/>
  <c r="G84" i="2"/>
  <c r="E46" i="6"/>
  <c r="D62" i="6"/>
  <c r="D63" i="6" s="1"/>
  <c r="C107" i="2"/>
  <c r="C108" i="2" s="1"/>
  <c r="F98" i="2"/>
  <c r="F97" i="2"/>
  <c r="C35" i="2"/>
  <c r="I17" i="6"/>
  <c r="I16" i="6"/>
  <c r="G45" i="6"/>
  <c r="G51" i="6"/>
  <c r="D101" i="2"/>
  <c r="D113" i="2" s="1"/>
  <c r="D104" i="2"/>
  <c r="D35" i="6"/>
  <c r="D37" i="6" s="1"/>
  <c r="F105" i="2" l="1"/>
  <c r="J17" i="6"/>
  <c r="K8" i="2"/>
  <c r="J48" i="2"/>
  <c r="J57" i="2"/>
  <c r="K7" i="2"/>
  <c r="J47" i="2"/>
  <c r="J56" i="2"/>
  <c r="J15" i="6"/>
  <c r="I24" i="6"/>
  <c r="I29" i="6"/>
  <c r="I61" i="6"/>
  <c r="H44" i="6"/>
  <c r="H50" i="6"/>
  <c r="H52" i="6" s="1"/>
  <c r="K6" i="2"/>
  <c r="J46" i="2"/>
  <c r="J55" i="2"/>
  <c r="J18" i="6"/>
  <c r="J23" i="6"/>
  <c r="J43" i="6"/>
  <c r="J49" i="6"/>
  <c r="J9" i="2"/>
  <c r="I14" i="2"/>
  <c r="I15" i="2" s="1"/>
  <c r="I23" i="2"/>
  <c r="I51" i="2"/>
  <c r="I66" i="2"/>
  <c r="I80" i="2"/>
  <c r="I88" i="2"/>
  <c r="I91" i="2"/>
  <c r="H25" i="2"/>
  <c r="H32" i="2" s="1"/>
  <c r="H37" i="2"/>
  <c r="H89" i="2"/>
  <c r="H98" i="2" s="1"/>
  <c r="H90" i="2"/>
  <c r="H97" i="2" s="1"/>
  <c r="H95" i="2"/>
  <c r="H96" i="2"/>
  <c r="G112" i="2"/>
  <c r="G97" i="2"/>
  <c r="G105" i="2" s="1"/>
  <c r="I10" i="2"/>
  <c r="H11" i="2"/>
  <c r="H50" i="2"/>
  <c r="H58" i="2"/>
  <c r="H59" i="2" s="1"/>
  <c r="H49" i="2"/>
  <c r="G20" i="2"/>
  <c r="G42" i="2"/>
  <c r="G52" i="2"/>
  <c r="G19" i="6"/>
  <c r="G99" i="2"/>
  <c r="F28" i="2"/>
  <c r="F26" i="2"/>
  <c r="F24" i="2"/>
  <c r="F38" i="2" s="1"/>
  <c r="F39" i="2" s="1"/>
  <c r="F21" i="2"/>
  <c r="F60" i="2"/>
  <c r="F67" i="2"/>
  <c r="F81" i="2"/>
  <c r="F94" i="2"/>
  <c r="F20" i="6"/>
  <c r="F34" i="6" s="1"/>
  <c r="F25" i="6"/>
  <c r="F26" i="6" s="1"/>
  <c r="F30" i="6"/>
  <c r="F31" i="6" s="1"/>
  <c r="E33" i="2"/>
  <c r="E34" i="2"/>
  <c r="E35" i="6"/>
  <c r="E37" i="6" s="1"/>
  <c r="E36" i="6"/>
  <c r="E38" i="6" s="1"/>
  <c r="H16" i="2"/>
  <c r="H36" i="2" s="1"/>
  <c r="H17" i="2"/>
  <c r="H31" i="2" s="1"/>
  <c r="H84" i="2"/>
  <c r="F46" i="6"/>
  <c r="E62" i="6"/>
  <c r="E63" i="6" s="1"/>
  <c r="C43" i="2"/>
  <c r="D107" i="2"/>
  <c r="D108" i="2" s="1"/>
  <c r="G98" i="2"/>
  <c r="G106" i="2"/>
  <c r="D35" i="2"/>
  <c r="J16" i="6"/>
  <c r="E27" i="2"/>
  <c r="E40" i="2" s="1"/>
  <c r="E22" i="2"/>
  <c r="E41" i="2" s="1"/>
  <c r="E101" i="2"/>
  <c r="E113" i="2" s="1"/>
  <c r="E104" i="2"/>
  <c r="K16" i="6" l="1"/>
  <c r="H106" i="2"/>
  <c r="K17" i="6"/>
  <c r="L8" i="2"/>
  <c r="K48" i="2"/>
  <c r="K57" i="2"/>
  <c r="L7" i="2"/>
  <c r="K47" i="2"/>
  <c r="K56" i="2"/>
  <c r="K15" i="6"/>
  <c r="J24" i="6"/>
  <c r="J29" i="6"/>
  <c r="J61" i="6"/>
  <c r="I44" i="6"/>
  <c r="I50" i="6"/>
  <c r="L6" i="2"/>
  <c r="K46" i="2"/>
  <c r="K55" i="2"/>
  <c r="K18" i="6"/>
  <c r="K23" i="6"/>
  <c r="K43" i="6"/>
  <c r="K49" i="6"/>
  <c r="K9" i="2"/>
  <c r="J14" i="2"/>
  <c r="J23" i="2"/>
  <c r="J51" i="2"/>
  <c r="J66" i="2"/>
  <c r="J80" i="2"/>
  <c r="J88" i="2"/>
  <c r="J91" i="2"/>
  <c r="J100" i="2" s="1"/>
  <c r="J45" i="6"/>
  <c r="J51" i="6"/>
  <c r="I25" i="2"/>
  <c r="I32" i="2" s="1"/>
  <c r="I37" i="2"/>
  <c r="I89" i="2"/>
  <c r="I90" i="2" s="1"/>
  <c r="I95" i="2"/>
  <c r="I96" i="2"/>
  <c r="I100" i="2"/>
  <c r="J10" i="2"/>
  <c r="I11" i="2"/>
  <c r="I49" i="2"/>
  <c r="I50" i="2"/>
  <c r="I58" i="2"/>
  <c r="I59" i="2" s="1"/>
  <c r="H20" i="2"/>
  <c r="H42" i="2"/>
  <c r="H99" i="2"/>
  <c r="H105" i="2"/>
  <c r="H52" i="2"/>
  <c r="H19" i="6"/>
  <c r="G28" i="2"/>
  <c r="G26" i="2"/>
  <c r="G24" i="2"/>
  <c r="G38" i="2" s="1"/>
  <c r="G39" i="2" s="1"/>
  <c r="G21" i="2"/>
  <c r="G67" i="2"/>
  <c r="G60" i="2"/>
  <c r="G61" i="2" s="1"/>
  <c r="G94" i="2"/>
  <c r="G81" i="2"/>
  <c r="G20" i="6"/>
  <c r="G34" i="6" s="1"/>
  <c r="G25" i="6"/>
  <c r="G26" i="6" s="1"/>
  <c r="G30" i="6"/>
  <c r="G31" i="6" s="1"/>
  <c r="F33" i="2"/>
  <c r="F34" i="2"/>
  <c r="F35" i="6"/>
  <c r="F37" i="6" s="1"/>
  <c r="F36" i="6"/>
  <c r="F38" i="6" s="1"/>
  <c r="J15" i="2"/>
  <c r="I16" i="2"/>
  <c r="I36" i="2" s="1"/>
  <c r="I17" i="2"/>
  <c r="I31" i="2" s="1"/>
  <c r="I84" i="2"/>
  <c r="G46" i="6"/>
  <c r="F62" i="6"/>
  <c r="C83" i="2"/>
  <c r="C64" i="2"/>
  <c r="C70" i="2" s="1"/>
  <c r="E107" i="2"/>
  <c r="E108" i="2" s="1"/>
  <c r="H112" i="2"/>
  <c r="E35" i="2"/>
  <c r="E43" i="2" s="1"/>
  <c r="I45" i="6"/>
  <c r="I51" i="6"/>
  <c r="F22" i="2"/>
  <c r="F41" i="2" s="1"/>
  <c r="F27" i="2"/>
  <c r="F40" i="2" s="1"/>
  <c r="F61" i="2"/>
  <c r="F101" i="2"/>
  <c r="F113" i="2" s="1"/>
  <c r="F104" i="2"/>
  <c r="D43" i="2"/>
  <c r="I97" i="2" l="1"/>
  <c r="M8" i="2"/>
  <c r="L48" i="2"/>
  <c r="L57" i="2"/>
  <c r="L16" i="6"/>
  <c r="M7" i="2"/>
  <c r="L47" i="2"/>
  <c r="L56" i="2"/>
  <c r="L15" i="6"/>
  <c r="K24" i="6"/>
  <c r="K29" i="6"/>
  <c r="K61" i="6"/>
  <c r="J44" i="6"/>
  <c r="J50" i="6"/>
  <c r="M6" i="2"/>
  <c r="L46" i="2"/>
  <c r="L55" i="2"/>
  <c r="L18" i="6"/>
  <c r="L23" i="6"/>
  <c r="L43" i="6"/>
  <c r="L49" i="6"/>
  <c r="L9" i="2"/>
  <c r="K14" i="2"/>
  <c r="K15" i="2" s="1"/>
  <c r="K23" i="2"/>
  <c r="K51" i="2"/>
  <c r="K66" i="2"/>
  <c r="K80" i="2"/>
  <c r="K88" i="2"/>
  <c r="K91" i="2"/>
  <c r="K100" i="2" s="1"/>
  <c r="K45" i="6"/>
  <c r="K51" i="6"/>
  <c r="J25" i="2"/>
  <c r="J32" i="2" s="1"/>
  <c r="J37" i="2"/>
  <c r="J89" i="2"/>
  <c r="J95" i="2"/>
  <c r="J96" i="2"/>
  <c r="K10" i="2"/>
  <c r="J11" i="2"/>
  <c r="J50" i="2"/>
  <c r="J58" i="2"/>
  <c r="J59" i="2" s="1"/>
  <c r="J49" i="2"/>
  <c r="I20" i="2"/>
  <c r="I42" i="2"/>
  <c r="I52" i="2"/>
  <c r="I19" i="6"/>
  <c r="I99" i="2"/>
  <c r="H28" i="2"/>
  <c r="H26" i="2"/>
  <c r="H24" i="2"/>
  <c r="H38" i="2" s="1"/>
  <c r="H39" i="2" s="1"/>
  <c r="H21" i="2"/>
  <c r="H27" i="2"/>
  <c r="H40" i="2" s="1"/>
  <c r="H22" i="2"/>
  <c r="H41" i="2" s="1"/>
  <c r="H94" i="2"/>
  <c r="H101" i="2" s="1"/>
  <c r="H81" i="2"/>
  <c r="H113" i="2"/>
  <c r="H104" i="2"/>
  <c r="H67" i="2"/>
  <c r="H60" i="2"/>
  <c r="H61" i="2" s="1"/>
  <c r="H20" i="6"/>
  <c r="H34" i="6" s="1"/>
  <c r="H25" i="6"/>
  <c r="H26" i="6" s="1"/>
  <c r="H30" i="6"/>
  <c r="H31" i="6" s="1"/>
  <c r="G33" i="2"/>
  <c r="G34" i="2"/>
  <c r="G35" i="6"/>
  <c r="G37" i="6" s="1"/>
  <c r="G36" i="6"/>
  <c r="G38" i="6" s="1"/>
  <c r="J16" i="2"/>
  <c r="J36" i="2" s="1"/>
  <c r="J17" i="2"/>
  <c r="J31" i="2" s="1"/>
  <c r="J84" i="2"/>
  <c r="H46" i="6"/>
  <c r="G62" i="6"/>
  <c r="G63" i="6" s="1"/>
  <c r="C109" i="2"/>
  <c r="C73" i="2"/>
  <c r="C82" i="2"/>
  <c r="C55" i="6"/>
  <c r="E64" i="2"/>
  <c r="E70" i="2" s="1"/>
  <c r="E109" i="2" s="1"/>
  <c r="E83" i="2"/>
  <c r="F107" i="2"/>
  <c r="D83" i="2"/>
  <c r="D64" i="2"/>
  <c r="D70" i="2" s="1"/>
  <c r="I52" i="6"/>
  <c r="I98" i="2"/>
  <c r="F35" i="2"/>
  <c r="I112" i="2"/>
  <c r="L17" i="6"/>
  <c r="I106" i="2"/>
  <c r="G22" i="2"/>
  <c r="G41" i="2" s="1"/>
  <c r="G27" i="2"/>
  <c r="G40" i="2" s="1"/>
  <c r="G101" i="2"/>
  <c r="G113" i="2" s="1"/>
  <c r="G104" i="2"/>
  <c r="J106" i="2" l="1"/>
  <c r="I105" i="2"/>
  <c r="N8" i="2"/>
  <c r="M48" i="2"/>
  <c r="M57" i="2"/>
  <c r="N7" i="2"/>
  <c r="M47" i="2"/>
  <c r="M56" i="2"/>
  <c r="M15" i="6"/>
  <c r="L24" i="6"/>
  <c r="L29" i="6"/>
  <c r="L61" i="6"/>
  <c r="K44" i="6"/>
  <c r="K50" i="6"/>
  <c r="N6" i="2"/>
  <c r="M46" i="2"/>
  <c r="M55" i="2"/>
  <c r="M18" i="6"/>
  <c r="M23" i="6"/>
  <c r="M43" i="6"/>
  <c r="M49" i="6"/>
  <c r="M9" i="2"/>
  <c r="L14" i="2"/>
  <c r="L15" i="2" s="1"/>
  <c r="L23" i="2"/>
  <c r="L51" i="2"/>
  <c r="L66" i="2"/>
  <c r="L80" i="2"/>
  <c r="L88" i="2"/>
  <c r="L91" i="2"/>
  <c r="L100" i="2" s="1"/>
  <c r="L45" i="6"/>
  <c r="L51" i="6"/>
  <c r="K25" i="2"/>
  <c r="K32" i="2" s="1"/>
  <c r="K37" i="2"/>
  <c r="K89" i="2"/>
  <c r="K95" i="2"/>
  <c r="K96" i="2"/>
  <c r="L10" i="2"/>
  <c r="K11" i="2"/>
  <c r="K50" i="2"/>
  <c r="K49" i="2"/>
  <c r="K58" i="2"/>
  <c r="K59" i="2" s="1"/>
  <c r="J20" i="2"/>
  <c r="J42" i="2"/>
  <c r="J99" i="2"/>
  <c r="J52" i="2"/>
  <c r="J19" i="6"/>
  <c r="I28" i="2"/>
  <c r="I26" i="2"/>
  <c r="I24" i="2"/>
  <c r="I38" i="2" s="1"/>
  <c r="I39" i="2" s="1"/>
  <c r="I21" i="2"/>
  <c r="I27" i="2"/>
  <c r="I40" i="2" s="1"/>
  <c r="I22" i="2"/>
  <c r="I41" i="2" s="1"/>
  <c r="I67" i="2"/>
  <c r="I60" i="2"/>
  <c r="I61" i="2" s="1"/>
  <c r="I94" i="2"/>
  <c r="I81" i="2"/>
  <c r="I20" i="6"/>
  <c r="I34" i="6" s="1"/>
  <c r="I25" i="6"/>
  <c r="I26" i="6" s="1"/>
  <c r="I30" i="6"/>
  <c r="I31" i="6" s="1"/>
  <c r="H33" i="2"/>
  <c r="H34" i="2"/>
  <c r="H107" i="2"/>
  <c r="H108" i="2"/>
  <c r="H35" i="6"/>
  <c r="H37" i="6" s="1"/>
  <c r="H36" i="6"/>
  <c r="H38" i="6" s="1"/>
  <c r="K16" i="2"/>
  <c r="K36" i="2" s="1"/>
  <c r="K17" i="2"/>
  <c r="K31" i="2" s="1"/>
  <c r="K84" i="2"/>
  <c r="H62" i="6"/>
  <c r="H63" i="6" s="1"/>
  <c r="I46" i="6"/>
  <c r="C111" i="2"/>
  <c r="C110" i="2"/>
  <c r="C85" i="2"/>
  <c r="C75" i="2"/>
  <c r="C76" i="2" s="1"/>
  <c r="C74" i="2"/>
  <c r="C56" i="6"/>
  <c r="C57" i="6"/>
  <c r="C58" i="6"/>
  <c r="E110" i="2"/>
  <c r="E111" i="2"/>
  <c r="E73" i="2"/>
  <c r="E82" i="2"/>
  <c r="E55" i="6"/>
  <c r="D109" i="2"/>
  <c r="D73" i="2"/>
  <c r="D55" i="6"/>
  <c r="D82" i="2"/>
  <c r="F43" i="2"/>
  <c r="G107" i="2"/>
  <c r="G35" i="2"/>
  <c r="J52" i="6"/>
  <c r="M16" i="6"/>
  <c r="N16" i="6" s="1"/>
  <c r="M17" i="6"/>
  <c r="N17" i="6" s="1"/>
  <c r="J98" i="2"/>
  <c r="J90" i="2"/>
  <c r="F108" i="2"/>
  <c r="K52" i="6" l="1"/>
  <c r="O8" i="2"/>
  <c r="N48" i="2"/>
  <c r="N57" i="2"/>
  <c r="O7" i="2"/>
  <c r="N47" i="2"/>
  <c r="N56" i="2"/>
  <c r="N15" i="6"/>
  <c r="M24" i="6"/>
  <c r="M29" i="6"/>
  <c r="M61" i="6"/>
  <c r="L44" i="6"/>
  <c r="L50" i="6"/>
  <c r="O6" i="2"/>
  <c r="N46" i="2"/>
  <c r="N55" i="2"/>
  <c r="N18" i="6"/>
  <c r="N23" i="6"/>
  <c r="N43" i="6"/>
  <c r="N49" i="6"/>
  <c r="N9" i="2"/>
  <c r="M14" i="2"/>
  <c r="M15" i="2" s="1"/>
  <c r="M23" i="2"/>
  <c r="M51" i="2"/>
  <c r="M66" i="2"/>
  <c r="M80" i="2"/>
  <c r="M88" i="2"/>
  <c r="M91" i="2"/>
  <c r="M100" i="2" s="1"/>
  <c r="M45" i="6"/>
  <c r="M51" i="6"/>
  <c r="L25" i="2"/>
  <c r="L32" i="2" s="1"/>
  <c r="L37" i="2"/>
  <c r="L89" i="2"/>
  <c r="L95" i="2"/>
  <c r="L96" i="2"/>
  <c r="M10" i="2"/>
  <c r="L11" i="2"/>
  <c r="L50" i="2"/>
  <c r="L58" i="2"/>
  <c r="L59" i="2" s="1"/>
  <c r="L49" i="2"/>
  <c r="K20" i="2"/>
  <c r="K42" i="2"/>
  <c r="K52" i="2"/>
  <c r="K19" i="6"/>
  <c r="K99" i="2"/>
  <c r="J28" i="2"/>
  <c r="J26" i="2"/>
  <c r="J24" i="2"/>
  <c r="J38" i="2" s="1"/>
  <c r="J39" i="2" s="1"/>
  <c r="J21" i="2"/>
  <c r="J27" i="2" s="1"/>
  <c r="J40" i="2" s="1"/>
  <c r="J22" i="2"/>
  <c r="J41" i="2" s="1"/>
  <c r="J94" i="2"/>
  <c r="J81" i="2"/>
  <c r="J104" i="2"/>
  <c r="J67" i="2"/>
  <c r="J60" i="2"/>
  <c r="J61" i="2" s="1"/>
  <c r="J20" i="6"/>
  <c r="J34" i="6" s="1"/>
  <c r="J25" i="6"/>
  <c r="J26" i="6" s="1"/>
  <c r="J30" i="6"/>
  <c r="J31" i="6" s="1"/>
  <c r="I33" i="2"/>
  <c r="I34" i="2"/>
  <c r="I35" i="6"/>
  <c r="I37" i="6" s="1"/>
  <c r="I36" i="6"/>
  <c r="I38" i="6" s="1"/>
  <c r="L16" i="2"/>
  <c r="L36" i="2" s="1"/>
  <c r="L17" i="2"/>
  <c r="L31" i="2" s="1"/>
  <c r="L84" i="2"/>
  <c r="J46" i="6"/>
  <c r="I62" i="6"/>
  <c r="I63" i="6" s="1"/>
  <c r="C77" i="2"/>
  <c r="E85" i="2"/>
  <c r="E75" i="2"/>
  <c r="E76" i="2" s="1"/>
  <c r="E74" i="2"/>
  <c r="E56" i="6"/>
  <c r="E58" i="6"/>
  <c r="E57" i="6"/>
  <c r="D110" i="2"/>
  <c r="D111" i="2"/>
  <c r="D85" i="2"/>
  <c r="D75" i="2"/>
  <c r="D76" i="2" s="1"/>
  <c r="D74" i="2"/>
  <c r="D56" i="6"/>
  <c r="D57" i="6"/>
  <c r="D58" i="6"/>
  <c r="F64" i="2"/>
  <c r="F70" i="2" s="1"/>
  <c r="F83" i="2"/>
  <c r="J112" i="2"/>
  <c r="J97" i="2"/>
  <c r="J105" i="2" s="1"/>
  <c r="H35" i="2"/>
  <c r="H43" i="2" s="1"/>
  <c r="K106" i="2"/>
  <c r="K98" i="2"/>
  <c r="K90" i="2"/>
  <c r="K97" i="2" s="1"/>
  <c r="I101" i="2"/>
  <c r="I113" i="2" s="1"/>
  <c r="I104" i="2"/>
  <c r="G108" i="2"/>
  <c r="G43" i="2"/>
  <c r="L52" i="6" l="1"/>
  <c r="L106" i="2"/>
  <c r="K105" i="2"/>
  <c r="O17" i="6"/>
  <c r="P8" i="2"/>
  <c r="O48" i="2"/>
  <c r="O57" i="2"/>
  <c r="O16" i="6"/>
  <c r="P7" i="2"/>
  <c r="O47" i="2"/>
  <c r="O56" i="2"/>
  <c r="O15" i="6"/>
  <c r="N24" i="6"/>
  <c r="N29" i="6"/>
  <c r="N61" i="6"/>
  <c r="M44" i="6"/>
  <c r="M50" i="6"/>
  <c r="P6" i="2"/>
  <c r="O46" i="2"/>
  <c r="O55" i="2"/>
  <c r="O18" i="6"/>
  <c r="O23" i="6"/>
  <c r="O43" i="6"/>
  <c r="O49" i="6"/>
  <c r="O9" i="2"/>
  <c r="C11" i="3"/>
  <c r="C5" i="3"/>
  <c r="N14" i="2"/>
  <c r="N23" i="2"/>
  <c r="N51" i="2"/>
  <c r="N66" i="2"/>
  <c r="C26" i="3" s="1"/>
  <c r="N80" i="2"/>
  <c r="N88" i="2"/>
  <c r="N91" i="2"/>
  <c r="M25" i="2"/>
  <c r="M32" i="2" s="1"/>
  <c r="M37" i="2"/>
  <c r="M89" i="2"/>
  <c r="M90" i="2" s="1"/>
  <c r="M95" i="2"/>
  <c r="M96" i="2"/>
  <c r="N10" i="2"/>
  <c r="M11" i="2"/>
  <c r="M50" i="2"/>
  <c r="M58" i="2"/>
  <c r="M59" i="2" s="1"/>
  <c r="M49" i="2"/>
  <c r="L20" i="2"/>
  <c r="L42" i="2"/>
  <c r="L99" i="2"/>
  <c r="L52" i="2"/>
  <c r="L19" i="6"/>
  <c r="K28" i="2"/>
  <c r="K26" i="2"/>
  <c r="K24" i="2"/>
  <c r="K38" i="2" s="1"/>
  <c r="K39" i="2" s="1"/>
  <c r="K21" i="2"/>
  <c r="K60" i="2"/>
  <c r="K61" i="2"/>
  <c r="K67" i="2"/>
  <c r="K94" i="2"/>
  <c r="K81" i="2"/>
  <c r="K20" i="6"/>
  <c r="K34" i="6" s="1"/>
  <c r="K25" i="6"/>
  <c r="K26" i="6" s="1"/>
  <c r="K30" i="6"/>
  <c r="K31" i="6" s="1"/>
  <c r="J33" i="2"/>
  <c r="J34" i="2"/>
  <c r="J107" i="2"/>
  <c r="J108" i="2" s="1"/>
  <c r="J35" i="6"/>
  <c r="J37" i="6" s="1"/>
  <c r="J36" i="6"/>
  <c r="J38" i="6" s="1"/>
  <c r="N15" i="2"/>
  <c r="M16" i="2"/>
  <c r="M36" i="2" s="1"/>
  <c r="M17" i="2"/>
  <c r="M31" i="2" s="1"/>
  <c r="M84" i="2"/>
  <c r="K46" i="6"/>
  <c r="J62" i="6"/>
  <c r="J63" i="6" s="1"/>
  <c r="F109" i="2"/>
  <c r="F55" i="6"/>
  <c r="F73" i="2"/>
  <c r="F82" i="2"/>
  <c r="H64" i="2"/>
  <c r="H70" i="2" s="1"/>
  <c r="H83" i="2"/>
  <c r="I107" i="2"/>
  <c r="I108" i="2" s="1"/>
  <c r="G83" i="2"/>
  <c r="G64" i="2"/>
  <c r="G70" i="2" s="1"/>
  <c r="J101" i="2"/>
  <c r="J113" i="2" s="1"/>
  <c r="I35" i="2"/>
  <c r="I43" i="2" s="1"/>
  <c r="D77" i="2"/>
  <c r="E77" i="2" s="1"/>
  <c r="K112" i="2"/>
  <c r="L98" i="2"/>
  <c r="L90" i="2"/>
  <c r="L97" i="2" s="1"/>
  <c r="M52" i="6" l="1"/>
  <c r="M97" i="2"/>
  <c r="M106" i="2"/>
  <c r="L105" i="2"/>
  <c r="P17" i="6"/>
  <c r="N45" i="6"/>
  <c r="N51" i="6"/>
  <c r="Q8" i="2"/>
  <c r="P48" i="2"/>
  <c r="P57" i="2"/>
  <c r="Q7" i="2"/>
  <c r="P47" i="2"/>
  <c r="P56" i="2"/>
  <c r="P15" i="6"/>
  <c r="O24" i="6"/>
  <c r="O29" i="6"/>
  <c r="O61" i="6"/>
  <c r="N44" i="6"/>
  <c r="N50" i="6"/>
  <c r="N52" i="6" s="1"/>
  <c r="Q6" i="2"/>
  <c r="P46" i="2"/>
  <c r="P55" i="2"/>
  <c r="P18" i="6"/>
  <c r="P23" i="6"/>
  <c r="P43" i="6"/>
  <c r="P49" i="6"/>
  <c r="P9" i="2"/>
  <c r="O14" i="2"/>
  <c r="O15" i="2" s="1"/>
  <c r="O23" i="2"/>
  <c r="O51" i="2"/>
  <c r="O66" i="2"/>
  <c r="O80" i="2"/>
  <c r="O88" i="2"/>
  <c r="O91" i="2"/>
  <c r="O45" i="6"/>
  <c r="O51" i="6"/>
  <c r="N25" i="2"/>
  <c r="N32" i="2" s="1"/>
  <c r="N37" i="2"/>
  <c r="C36" i="3"/>
  <c r="N89" i="2"/>
  <c r="N90" i="2" s="1"/>
  <c r="N95" i="2"/>
  <c r="N96" i="2"/>
  <c r="C37" i="3"/>
  <c r="N100" i="2"/>
  <c r="O10" i="2"/>
  <c r="N11" i="2"/>
  <c r="N50" i="2"/>
  <c r="N49" i="2"/>
  <c r="N58" i="2"/>
  <c r="N59" i="2" s="1"/>
  <c r="C6" i="3"/>
  <c r="M20" i="2"/>
  <c r="M42" i="2"/>
  <c r="M99" i="2"/>
  <c r="M52" i="2"/>
  <c r="M19" i="6"/>
  <c r="L28" i="2"/>
  <c r="L26" i="2"/>
  <c r="L24" i="2"/>
  <c r="L38" i="2" s="1"/>
  <c r="L39" i="2" s="1"/>
  <c r="L21" i="2"/>
  <c r="L22" i="2"/>
  <c r="L41" i="2" s="1"/>
  <c r="L27" i="2"/>
  <c r="L40" i="2" s="1"/>
  <c r="L60" i="2"/>
  <c r="L61" i="2"/>
  <c r="L67" i="2"/>
  <c r="L81" i="2"/>
  <c r="L94" i="2"/>
  <c r="L20" i="6"/>
  <c r="L34" i="6" s="1"/>
  <c r="L25" i="6"/>
  <c r="L26" i="6" s="1"/>
  <c r="L30" i="6"/>
  <c r="L31" i="6" s="1"/>
  <c r="K33" i="2"/>
  <c r="K34" i="2"/>
  <c r="K35" i="6"/>
  <c r="K37" i="6" s="1"/>
  <c r="K36" i="6"/>
  <c r="K38" i="6" s="1"/>
  <c r="N16" i="2"/>
  <c r="N36" i="2" s="1"/>
  <c r="N17" i="2"/>
  <c r="N31" i="2" s="1"/>
  <c r="N84" i="2"/>
  <c r="C8" i="3"/>
  <c r="L46" i="6"/>
  <c r="K62" i="6"/>
  <c r="K63" i="6" s="1"/>
  <c r="F110" i="2"/>
  <c r="F111" i="2"/>
  <c r="F56" i="6"/>
  <c r="F58" i="6"/>
  <c r="F57" i="6"/>
  <c r="F85" i="2"/>
  <c r="F75" i="2"/>
  <c r="F76" i="2" s="1"/>
  <c r="F74" i="2"/>
  <c r="H109" i="2"/>
  <c r="H73" i="2"/>
  <c r="H55" i="6"/>
  <c r="H82" i="2"/>
  <c r="G109" i="2"/>
  <c r="G73" i="2"/>
  <c r="G55" i="6"/>
  <c r="G82" i="2"/>
  <c r="I64" i="2"/>
  <c r="I70" i="2" s="1"/>
  <c r="I83" i="2"/>
  <c r="P16" i="6"/>
  <c r="M98" i="2"/>
  <c r="M105" i="2" s="1"/>
  <c r="J35" i="2"/>
  <c r="J43" i="2" s="1"/>
  <c r="L112" i="2"/>
  <c r="M112" i="2" s="1"/>
  <c r="K27" i="2"/>
  <c r="K40" i="2" s="1"/>
  <c r="K22" i="2"/>
  <c r="K41" i="2" s="1"/>
  <c r="K101" i="2"/>
  <c r="K113" i="2" s="1"/>
  <c r="K104" i="2"/>
  <c r="Q17" i="6" l="1"/>
  <c r="R8" i="2"/>
  <c r="Q48" i="2"/>
  <c r="Q57" i="2"/>
  <c r="R7" i="2"/>
  <c r="Q47" i="2"/>
  <c r="Q56" i="2"/>
  <c r="Q15" i="6"/>
  <c r="P24" i="6"/>
  <c r="P29" i="6"/>
  <c r="P61" i="6"/>
  <c r="O44" i="6"/>
  <c r="O50" i="6"/>
  <c r="O52" i="6" s="1"/>
  <c r="R6" i="2"/>
  <c r="Q46" i="2"/>
  <c r="Q55" i="2"/>
  <c r="Q18" i="6"/>
  <c r="Q23" i="6"/>
  <c r="Q43" i="6"/>
  <c r="Q49" i="6"/>
  <c r="Q9" i="2"/>
  <c r="P14" i="2"/>
  <c r="P15" i="2" s="1"/>
  <c r="P23" i="2"/>
  <c r="P51" i="2"/>
  <c r="P80" i="2"/>
  <c r="P88" i="2"/>
  <c r="P91" i="2"/>
  <c r="P100" i="2" s="1"/>
  <c r="P66" i="2"/>
  <c r="P45" i="6"/>
  <c r="P51" i="6"/>
  <c r="O25" i="2"/>
  <c r="O32" i="2" s="1"/>
  <c r="O37" i="2"/>
  <c r="O89" i="2"/>
  <c r="O90" i="2" s="1"/>
  <c r="O95" i="2"/>
  <c r="O96" i="2"/>
  <c r="O100" i="2"/>
  <c r="P10" i="2"/>
  <c r="O11" i="2"/>
  <c r="O49" i="2"/>
  <c r="O50" i="2"/>
  <c r="O58" i="2"/>
  <c r="O59" i="2" s="1"/>
  <c r="N20" i="2"/>
  <c r="N42" i="2"/>
  <c r="C24" i="3" s="1"/>
  <c r="C7" i="3"/>
  <c r="N52" i="2"/>
  <c r="C12" i="3"/>
  <c r="N19" i="6"/>
  <c r="N99" i="2"/>
  <c r="N105" i="2"/>
  <c r="C14" i="3"/>
  <c r="M28" i="2"/>
  <c r="M26" i="2"/>
  <c r="M24" i="2"/>
  <c r="M38" i="2" s="1"/>
  <c r="M39" i="2" s="1"/>
  <c r="M21" i="2"/>
  <c r="M94" i="2"/>
  <c r="M81" i="2"/>
  <c r="M67" i="2"/>
  <c r="M60" i="2"/>
  <c r="M61" i="2" s="1"/>
  <c r="M20" i="6"/>
  <c r="M34" i="6" s="1"/>
  <c r="M25" i="6"/>
  <c r="M26" i="6" s="1"/>
  <c r="M30" i="6"/>
  <c r="M31" i="6" s="1"/>
  <c r="L33" i="2"/>
  <c r="L34" i="2"/>
  <c r="L35" i="6"/>
  <c r="L37" i="6" s="1"/>
  <c r="L36" i="6"/>
  <c r="L38" i="6" s="1"/>
  <c r="O16" i="2"/>
  <c r="O36" i="2" s="1"/>
  <c r="O17" i="2"/>
  <c r="O31" i="2" s="1"/>
  <c r="O84" i="2"/>
  <c r="M46" i="6"/>
  <c r="L62" i="6"/>
  <c r="L63" i="6" s="1"/>
  <c r="F77" i="2"/>
  <c r="H110" i="2"/>
  <c r="H111" i="2"/>
  <c r="H85" i="2"/>
  <c r="H75" i="2"/>
  <c r="H76" i="2" s="1"/>
  <c r="H74" i="2"/>
  <c r="H58" i="6"/>
  <c r="H57" i="6"/>
  <c r="H56" i="6"/>
  <c r="G110" i="2"/>
  <c r="G111" i="2"/>
  <c r="G85" i="2"/>
  <c r="G75" i="2"/>
  <c r="G76" i="2" s="1"/>
  <c r="G74" i="2"/>
  <c r="G56" i="6"/>
  <c r="G58" i="6"/>
  <c r="G57" i="6"/>
  <c r="I109" i="2"/>
  <c r="I73" i="2"/>
  <c r="I55" i="6"/>
  <c r="I82" i="2"/>
  <c r="J64" i="2"/>
  <c r="J70" i="2" s="1"/>
  <c r="J83" i="2"/>
  <c r="K107" i="2"/>
  <c r="K108" i="2" s="1"/>
  <c r="K35" i="2"/>
  <c r="K43" i="2" s="1"/>
  <c r="N106" i="2"/>
  <c r="Q16" i="6"/>
  <c r="N98" i="2"/>
  <c r="N112" i="2"/>
  <c r="N97" i="2"/>
  <c r="L101" i="2"/>
  <c r="L113" i="2" s="1"/>
  <c r="L104" i="2"/>
  <c r="R16" i="6" l="1"/>
  <c r="S8" i="2"/>
  <c r="R57" i="2"/>
  <c r="R48" i="2"/>
  <c r="S7" i="2"/>
  <c r="R47" i="2"/>
  <c r="R56" i="2"/>
  <c r="R15" i="6"/>
  <c r="Q24" i="6"/>
  <c r="Q29" i="6"/>
  <c r="Q61" i="6"/>
  <c r="P44" i="6"/>
  <c r="P50" i="6"/>
  <c r="P52" i="6" s="1"/>
  <c r="S6" i="2"/>
  <c r="R46" i="2"/>
  <c r="R55" i="2"/>
  <c r="R18" i="6"/>
  <c r="R23" i="6"/>
  <c r="R43" i="6"/>
  <c r="R49" i="6"/>
  <c r="R9" i="2"/>
  <c r="Q14" i="2"/>
  <c r="Q15" i="2" s="1"/>
  <c r="Q23" i="2"/>
  <c r="Q51" i="2"/>
  <c r="Q66" i="2"/>
  <c r="Q80" i="2"/>
  <c r="Q88" i="2"/>
  <c r="Q91" i="2"/>
  <c r="Q45" i="6"/>
  <c r="Q51" i="6"/>
  <c r="P25" i="2"/>
  <c r="P32" i="2" s="1"/>
  <c r="P37" i="2"/>
  <c r="P89" i="2"/>
  <c r="P90" i="2"/>
  <c r="P95" i="2"/>
  <c r="P96" i="2"/>
  <c r="Q10" i="2"/>
  <c r="P11" i="2"/>
  <c r="P50" i="2"/>
  <c r="P58" i="2"/>
  <c r="P59" i="2" s="1"/>
  <c r="P49" i="2"/>
  <c r="O20" i="2"/>
  <c r="O42" i="2"/>
  <c r="O52" i="2"/>
  <c r="O19" i="6"/>
  <c r="O99" i="2"/>
  <c r="N28" i="2"/>
  <c r="N26" i="2"/>
  <c r="N24" i="2"/>
  <c r="N38" i="2" s="1"/>
  <c r="N39" i="2" s="1"/>
  <c r="C21" i="3" s="1"/>
  <c r="N21" i="2"/>
  <c r="N27" i="2"/>
  <c r="N40" i="2" s="1"/>
  <c r="C22" i="3" s="1"/>
  <c r="N22" i="2"/>
  <c r="N41" i="2" s="1"/>
  <c r="N67" i="2"/>
  <c r="C27" i="3" s="1"/>
  <c r="N60" i="2"/>
  <c r="N61" i="2" s="1"/>
  <c r="C10" i="3"/>
  <c r="N94" i="2"/>
  <c r="N81" i="2"/>
  <c r="N20" i="6"/>
  <c r="N34" i="6" s="1"/>
  <c r="N25" i="6"/>
  <c r="N26" i="6" s="1"/>
  <c r="N30" i="6"/>
  <c r="N31" i="6" s="1"/>
  <c r="C43" i="3"/>
  <c r="M33" i="2"/>
  <c r="M34" i="2"/>
  <c r="M35" i="6"/>
  <c r="M37" i="6" s="1"/>
  <c r="M36" i="6"/>
  <c r="M38" i="6" s="1"/>
  <c r="P16" i="2"/>
  <c r="P36" i="2" s="1"/>
  <c r="P17" i="2"/>
  <c r="P31" i="2" s="1"/>
  <c r="P84" i="2"/>
  <c r="N46" i="6"/>
  <c r="M62" i="6"/>
  <c r="M63" i="6" s="1"/>
  <c r="I110" i="2"/>
  <c r="I111" i="2"/>
  <c r="I85" i="2"/>
  <c r="I75" i="2"/>
  <c r="I76" i="2" s="1"/>
  <c r="I74" i="2"/>
  <c r="I56" i="6"/>
  <c r="I58" i="6"/>
  <c r="I57" i="6"/>
  <c r="J109" i="2"/>
  <c r="J55" i="6"/>
  <c r="J73" i="2"/>
  <c r="J82" i="2"/>
  <c r="K64" i="2"/>
  <c r="K70" i="2" s="1"/>
  <c r="K83" i="2"/>
  <c r="L107" i="2"/>
  <c r="L108" i="2" s="1"/>
  <c r="L35" i="2"/>
  <c r="L43" i="2" s="1"/>
  <c r="O106" i="2"/>
  <c r="G77" i="2"/>
  <c r="H77" i="2" s="1"/>
  <c r="O98" i="2"/>
  <c r="R17" i="6"/>
  <c r="O112" i="2"/>
  <c r="O97" i="2"/>
  <c r="M22" i="2"/>
  <c r="M41" i="2" s="1"/>
  <c r="M27" i="2"/>
  <c r="M40" i="2" s="1"/>
  <c r="M101" i="2"/>
  <c r="M113" i="2" s="1"/>
  <c r="M104" i="2"/>
  <c r="P112" i="2" l="1"/>
  <c r="I77" i="2"/>
  <c r="O105" i="2"/>
  <c r="T8" i="2"/>
  <c r="S57" i="2"/>
  <c r="S48" i="2"/>
  <c r="S16" i="6"/>
  <c r="T7" i="2"/>
  <c r="S47" i="2"/>
  <c r="S56" i="2"/>
  <c r="S15" i="6"/>
  <c r="R24" i="6"/>
  <c r="R29" i="6"/>
  <c r="R61" i="6"/>
  <c r="Q44" i="6"/>
  <c r="Q50" i="6"/>
  <c r="Q52" i="6" s="1"/>
  <c r="T6" i="2"/>
  <c r="S46" i="2"/>
  <c r="S55" i="2"/>
  <c r="S18" i="6"/>
  <c r="S23" i="6"/>
  <c r="S43" i="6"/>
  <c r="S49" i="6"/>
  <c r="S9" i="2"/>
  <c r="R14" i="2"/>
  <c r="R15" i="2" s="1"/>
  <c r="R23" i="2"/>
  <c r="R51" i="2"/>
  <c r="R66" i="2"/>
  <c r="R80" i="2"/>
  <c r="R88" i="2"/>
  <c r="R91" i="2"/>
  <c r="Q25" i="2"/>
  <c r="Q32" i="2" s="1"/>
  <c r="Q37" i="2"/>
  <c r="Q89" i="2"/>
  <c r="Q90" i="2"/>
  <c r="Q95" i="2"/>
  <c r="Q96" i="2"/>
  <c r="Q100" i="2"/>
  <c r="R10" i="2"/>
  <c r="Q11" i="2"/>
  <c r="Q50" i="2"/>
  <c r="Q58" i="2"/>
  <c r="Q59" i="2" s="1"/>
  <c r="Q49" i="2"/>
  <c r="P20" i="2"/>
  <c r="P42" i="2"/>
  <c r="P99" i="2"/>
  <c r="P52" i="2"/>
  <c r="P19" i="6"/>
  <c r="O28" i="2"/>
  <c r="O26" i="2"/>
  <c r="O24" i="2"/>
  <c r="O38" i="2" s="1"/>
  <c r="O39" i="2" s="1"/>
  <c r="O21" i="2"/>
  <c r="O22" i="2"/>
  <c r="O41" i="2" s="1"/>
  <c r="O27" i="2"/>
  <c r="O40" i="2" s="1"/>
  <c r="O67" i="2"/>
  <c r="O60" i="2"/>
  <c r="O61" i="2" s="1"/>
  <c r="O94" i="2"/>
  <c r="O81" i="2"/>
  <c r="O20" i="6"/>
  <c r="O34" i="6" s="1"/>
  <c r="O25" i="6"/>
  <c r="O26" i="6" s="1"/>
  <c r="O30" i="6"/>
  <c r="O31" i="6" s="1"/>
  <c r="N33" i="2"/>
  <c r="N34" i="2"/>
  <c r="C15" i="3"/>
  <c r="C16" i="3" s="1"/>
  <c r="N35" i="6"/>
  <c r="N37" i="6" s="1"/>
  <c r="N36" i="6"/>
  <c r="N38" i="6" s="1"/>
  <c r="Q16" i="2"/>
  <c r="Q36" i="2" s="1"/>
  <c r="Q17" i="2"/>
  <c r="Q31" i="2" s="1"/>
  <c r="Q84" i="2"/>
  <c r="O46" i="6"/>
  <c r="N62" i="6"/>
  <c r="N63" i="6" s="1"/>
  <c r="J110" i="2"/>
  <c r="J111" i="2"/>
  <c r="J58" i="6"/>
  <c r="J57" i="6"/>
  <c r="J56" i="6"/>
  <c r="J85" i="2"/>
  <c r="J75" i="2"/>
  <c r="J76" i="2" s="1"/>
  <c r="J74" i="2"/>
  <c r="K109" i="2"/>
  <c r="K73" i="2"/>
  <c r="K55" i="6"/>
  <c r="K82" i="2"/>
  <c r="L64" i="2"/>
  <c r="L70" i="2" s="1"/>
  <c r="L83" i="2"/>
  <c r="M107" i="2"/>
  <c r="M108" i="2" s="1"/>
  <c r="P98" i="2"/>
  <c r="P97" i="2"/>
  <c r="P106" i="2"/>
  <c r="C23" i="3"/>
  <c r="M35" i="2"/>
  <c r="M43" i="2" s="1"/>
  <c r="S17" i="6"/>
  <c r="N101" i="2"/>
  <c r="N104" i="2"/>
  <c r="J77" i="2" l="1"/>
  <c r="P105" i="2"/>
  <c r="T17" i="6"/>
  <c r="U8" i="2"/>
  <c r="T48" i="2"/>
  <c r="T57" i="2"/>
  <c r="U7" i="2"/>
  <c r="T47" i="2"/>
  <c r="T56" i="2"/>
  <c r="T15" i="6"/>
  <c r="S24" i="6"/>
  <c r="S29" i="6"/>
  <c r="S61" i="6"/>
  <c r="R44" i="6"/>
  <c r="R50" i="6"/>
  <c r="U6" i="2"/>
  <c r="T46" i="2"/>
  <c r="T55" i="2"/>
  <c r="T18" i="6"/>
  <c r="T23" i="6"/>
  <c r="T43" i="6"/>
  <c r="T49" i="6"/>
  <c r="T9" i="2"/>
  <c r="S14" i="2"/>
  <c r="S23" i="2"/>
  <c r="S51" i="2"/>
  <c r="S80" i="2"/>
  <c r="S88" i="2"/>
  <c r="S91" i="2"/>
  <c r="S66" i="2"/>
  <c r="R25" i="2"/>
  <c r="R32" i="2" s="1"/>
  <c r="R37" i="2"/>
  <c r="R89" i="2"/>
  <c r="R95" i="2"/>
  <c r="R96" i="2"/>
  <c r="Q112" i="2"/>
  <c r="Q97" i="2"/>
  <c r="S10" i="2"/>
  <c r="R11" i="2"/>
  <c r="R50" i="2"/>
  <c r="R49" i="2"/>
  <c r="R58" i="2"/>
  <c r="R59" i="2" s="1"/>
  <c r="Q20" i="2"/>
  <c r="Q42" i="2"/>
  <c r="Q99" i="2"/>
  <c r="Q52" i="2"/>
  <c r="Q19" i="6"/>
  <c r="P28" i="2"/>
  <c r="P26" i="2"/>
  <c r="P24" i="2"/>
  <c r="P38" i="2" s="1"/>
  <c r="P39" i="2" s="1"/>
  <c r="P21" i="2"/>
  <c r="P27" i="2" s="1"/>
  <c r="P40" i="2" s="1"/>
  <c r="P22" i="2"/>
  <c r="P41" i="2" s="1"/>
  <c r="P94" i="2"/>
  <c r="P101" i="2" s="1"/>
  <c r="P113" i="2" s="1"/>
  <c r="P81" i="2"/>
  <c r="P104" i="2"/>
  <c r="P67" i="2"/>
  <c r="P60" i="2"/>
  <c r="P61" i="2" s="1"/>
  <c r="P20" i="6"/>
  <c r="P34" i="6" s="1"/>
  <c r="P25" i="6"/>
  <c r="P26" i="6" s="1"/>
  <c r="P30" i="6"/>
  <c r="P31" i="6" s="1"/>
  <c r="O33" i="2"/>
  <c r="O34" i="2"/>
  <c r="O35" i="6"/>
  <c r="O37" i="6" s="1"/>
  <c r="O36" i="6"/>
  <c r="O38" i="6" s="1"/>
  <c r="S15" i="2"/>
  <c r="R16" i="2"/>
  <c r="R36" i="2" s="1"/>
  <c r="R17" i="2"/>
  <c r="R31" i="2" s="1"/>
  <c r="R84" i="2"/>
  <c r="P46" i="6"/>
  <c r="O62" i="6"/>
  <c r="O63" i="6" s="1"/>
  <c r="K110" i="2"/>
  <c r="K111" i="2"/>
  <c r="K85" i="2"/>
  <c r="K75" i="2"/>
  <c r="K76" i="2" s="1"/>
  <c r="K77" i="2" s="1"/>
  <c r="K74" i="2"/>
  <c r="K56" i="6"/>
  <c r="K57" i="6"/>
  <c r="K58" i="6"/>
  <c r="L109" i="2"/>
  <c r="L73" i="2"/>
  <c r="L55" i="6"/>
  <c r="L82" i="2"/>
  <c r="M64" i="2"/>
  <c r="M70" i="2" s="1"/>
  <c r="M83" i="2"/>
  <c r="N113" i="2"/>
  <c r="C38" i="3"/>
  <c r="C39" i="3" s="1"/>
  <c r="N107" i="2"/>
  <c r="N108" i="2" s="1"/>
  <c r="C42" i="3"/>
  <c r="T16" i="6"/>
  <c r="U16" i="6" s="1"/>
  <c r="Q98" i="2"/>
  <c r="Q106" i="2"/>
  <c r="N35" i="2"/>
  <c r="R45" i="6"/>
  <c r="R51" i="6"/>
  <c r="R100" i="2"/>
  <c r="R99" i="2"/>
  <c r="O101" i="2"/>
  <c r="O113" i="2" s="1"/>
  <c r="O104" i="2"/>
  <c r="Q105" i="2" l="1"/>
  <c r="S45" i="6"/>
  <c r="S51" i="6"/>
  <c r="U17" i="6"/>
  <c r="V8" i="2"/>
  <c r="U48" i="2"/>
  <c r="U57" i="2"/>
  <c r="V7" i="2"/>
  <c r="U47" i="2"/>
  <c r="U56" i="2"/>
  <c r="U15" i="6"/>
  <c r="T24" i="6"/>
  <c r="T29" i="6"/>
  <c r="T61" i="6"/>
  <c r="S44" i="6"/>
  <c r="S50" i="6"/>
  <c r="V6" i="2"/>
  <c r="U46" i="2"/>
  <c r="U55" i="2"/>
  <c r="U18" i="6"/>
  <c r="U23" i="6"/>
  <c r="U43" i="6"/>
  <c r="U49" i="6"/>
  <c r="U9" i="2"/>
  <c r="T14" i="2"/>
  <c r="T15" i="2" s="1"/>
  <c r="T23" i="2"/>
  <c r="T51" i="2"/>
  <c r="T66" i="2"/>
  <c r="T80" i="2"/>
  <c r="T88" i="2"/>
  <c r="T91" i="2"/>
  <c r="T100" i="2" s="1"/>
  <c r="T45" i="6"/>
  <c r="T51" i="6"/>
  <c r="S25" i="2"/>
  <c r="S32" i="2" s="1"/>
  <c r="S37" i="2"/>
  <c r="S89" i="2"/>
  <c r="S90" i="2"/>
  <c r="S95" i="2"/>
  <c r="S96" i="2"/>
  <c r="T10" i="2"/>
  <c r="S11" i="2"/>
  <c r="S50" i="2"/>
  <c r="S58" i="2"/>
  <c r="S59" i="2" s="1"/>
  <c r="S49" i="2"/>
  <c r="R20" i="2"/>
  <c r="R42" i="2"/>
  <c r="R52" i="2"/>
  <c r="R19" i="6"/>
  <c r="Q28" i="2"/>
  <c r="Q26" i="2"/>
  <c r="Q24" i="2"/>
  <c r="Q38" i="2" s="1"/>
  <c r="Q39" i="2" s="1"/>
  <c r="Q21" i="2"/>
  <c r="Q22" i="2" s="1"/>
  <c r="Q41" i="2" s="1"/>
  <c r="Q27" i="2"/>
  <c r="Q40" i="2" s="1"/>
  <c r="Q67" i="2"/>
  <c r="Q60" i="2"/>
  <c r="Q61" i="2" s="1"/>
  <c r="Q94" i="2"/>
  <c r="Q81" i="2"/>
  <c r="Q20" i="6"/>
  <c r="Q34" i="6" s="1"/>
  <c r="Q25" i="6"/>
  <c r="Q26" i="6" s="1"/>
  <c r="Q30" i="6"/>
  <c r="Q31" i="6" s="1"/>
  <c r="P33" i="2"/>
  <c r="P34" i="2"/>
  <c r="P107" i="2"/>
  <c r="P108" i="2"/>
  <c r="P35" i="6"/>
  <c r="P37" i="6" s="1"/>
  <c r="P36" i="6"/>
  <c r="P38" i="6" s="1"/>
  <c r="S16" i="2"/>
  <c r="S36" i="2" s="1"/>
  <c r="S17" i="2"/>
  <c r="S31" i="2" s="1"/>
  <c r="S84" i="2"/>
  <c r="Q46" i="6"/>
  <c r="P62" i="6"/>
  <c r="P63" i="6" s="1"/>
  <c r="L110" i="2"/>
  <c r="L111" i="2"/>
  <c r="L85" i="2"/>
  <c r="L75" i="2"/>
  <c r="L76" i="2" s="1"/>
  <c r="L77" i="2" s="1"/>
  <c r="L74" i="2"/>
  <c r="L56" i="6"/>
  <c r="L58" i="6"/>
  <c r="L57" i="6"/>
  <c r="M109" i="2"/>
  <c r="M73" i="2"/>
  <c r="M55" i="6"/>
  <c r="M82" i="2"/>
  <c r="C44" i="3"/>
  <c r="C45" i="3" s="1"/>
  <c r="N43" i="2"/>
  <c r="C20" i="3"/>
  <c r="O107" i="2"/>
  <c r="O108" i="2" s="1"/>
  <c r="R52" i="6"/>
  <c r="R106" i="2"/>
  <c r="O35" i="2"/>
  <c r="S100" i="2"/>
  <c r="R98" i="2"/>
  <c r="R90" i="2"/>
  <c r="W8" i="2" l="1"/>
  <c r="V57" i="2"/>
  <c r="V48" i="2"/>
  <c r="V16" i="6"/>
  <c r="W7" i="2"/>
  <c r="V47" i="2"/>
  <c r="V56" i="2"/>
  <c r="V15" i="6"/>
  <c r="U24" i="6"/>
  <c r="U29" i="6"/>
  <c r="U61" i="6"/>
  <c r="T44" i="6"/>
  <c r="T50" i="6"/>
  <c r="W6" i="2"/>
  <c r="V46" i="2"/>
  <c r="V55" i="2"/>
  <c r="V18" i="6"/>
  <c r="V23" i="6"/>
  <c r="V43" i="6"/>
  <c r="V49" i="6"/>
  <c r="V9" i="2"/>
  <c r="U14" i="2"/>
  <c r="U15" i="2" s="1"/>
  <c r="U23" i="2"/>
  <c r="U51" i="2"/>
  <c r="U66" i="2"/>
  <c r="U80" i="2"/>
  <c r="U88" i="2"/>
  <c r="U91" i="2"/>
  <c r="U100" i="2" s="1"/>
  <c r="U45" i="6"/>
  <c r="U51" i="6"/>
  <c r="T25" i="2"/>
  <c r="T32" i="2" s="1"/>
  <c r="T37" i="2"/>
  <c r="T89" i="2"/>
  <c r="T90" i="2" s="1"/>
  <c r="T95" i="2"/>
  <c r="T96" i="2"/>
  <c r="U10" i="2"/>
  <c r="T11" i="2"/>
  <c r="T49" i="2"/>
  <c r="T50" i="2"/>
  <c r="T58" i="2"/>
  <c r="T59" i="2" s="1"/>
  <c r="S20" i="2"/>
  <c r="S42" i="2"/>
  <c r="S99" i="2"/>
  <c r="S105" i="2"/>
  <c r="S52" i="2"/>
  <c r="S19" i="6"/>
  <c r="R28" i="2"/>
  <c r="R26" i="2"/>
  <c r="R24" i="2"/>
  <c r="R38" i="2" s="1"/>
  <c r="R39" i="2" s="1"/>
  <c r="R21" i="2"/>
  <c r="R94" i="2"/>
  <c r="R101" i="2" s="1"/>
  <c r="R81" i="2"/>
  <c r="R113" i="2"/>
  <c r="R104" i="2"/>
  <c r="R67" i="2"/>
  <c r="R60" i="2"/>
  <c r="R20" i="6"/>
  <c r="R34" i="6" s="1"/>
  <c r="R25" i="6"/>
  <c r="R26" i="6" s="1"/>
  <c r="R30" i="6"/>
  <c r="R31" i="6" s="1"/>
  <c r="Q33" i="2"/>
  <c r="Q34" i="2"/>
  <c r="Q35" i="6"/>
  <c r="Q37" i="6" s="1"/>
  <c r="Q36" i="6"/>
  <c r="Q38" i="6" s="1"/>
  <c r="T16" i="2"/>
  <c r="T36" i="2" s="1"/>
  <c r="T17" i="2"/>
  <c r="T31" i="2" s="1"/>
  <c r="T84" i="2"/>
  <c r="R46" i="6"/>
  <c r="Q62" i="6"/>
  <c r="Q63" i="6" s="1"/>
  <c r="M110" i="2"/>
  <c r="M111" i="2"/>
  <c r="M85" i="2"/>
  <c r="M76" i="2"/>
  <c r="M77" i="2" s="1"/>
  <c r="M75" i="2"/>
  <c r="M74" i="2"/>
  <c r="M56" i="6"/>
  <c r="M58" i="6"/>
  <c r="M57" i="6"/>
  <c r="N83" i="2"/>
  <c r="C19" i="3"/>
  <c r="N64" i="2"/>
  <c r="N70" i="2" s="1"/>
  <c r="O43" i="2"/>
  <c r="R112" i="2"/>
  <c r="S112" i="2" s="1"/>
  <c r="R97" i="2"/>
  <c r="R105" i="2" s="1"/>
  <c r="S97" i="2"/>
  <c r="P35" i="2"/>
  <c r="S52" i="6"/>
  <c r="V17" i="6"/>
  <c r="S98" i="2"/>
  <c r="S106" i="2"/>
  <c r="Q101" i="2"/>
  <c r="Q113" i="2" s="1"/>
  <c r="Q104" i="2"/>
  <c r="Q35" i="2" l="1"/>
  <c r="Q43" i="2" s="1"/>
  <c r="X8" i="2"/>
  <c r="W48" i="2"/>
  <c r="W57" i="2"/>
  <c r="X7" i="2"/>
  <c r="W47" i="2"/>
  <c r="W56" i="2"/>
  <c r="W15" i="6"/>
  <c r="V24" i="6"/>
  <c r="V29" i="6"/>
  <c r="V61" i="6"/>
  <c r="U44" i="6"/>
  <c r="U50" i="6"/>
  <c r="X6" i="2"/>
  <c r="W46" i="2"/>
  <c r="W55" i="2"/>
  <c r="W18" i="6"/>
  <c r="W23" i="6"/>
  <c r="W43" i="6"/>
  <c r="W49" i="6"/>
  <c r="W9" i="2"/>
  <c r="V14" i="2"/>
  <c r="V23" i="2"/>
  <c r="V51" i="2"/>
  <c r="V80" i="2"/>
  <c r="V88" i="2"/>
  <c r="V91" i="2"/>
  <c r="V100" i="2" s="1"/>
  <c r="V66" i="2"/>
  <c r="V45" i="6"/>
  <c r="V51" i="6"/>
  <c r="U25" i="2"/>
  <c r="U32" i="2" s="1"/>
  <c r="U37" i="2"/>
  <c r="U89" i="2"/>
  <c r="U90" i="2" s="1"/>
  <c r="U95" i="2"/>
  <c r="U96" i="2"/>
  <c r="V10" i="2"/>
  <c r="U11" i="2"/>
  <c r="U50" i="2"/>
  <c r="U58" i="2"/>
  <c r="U59" i="2" s="1"/>
  <c r="U49" i="2"/>
  <c r="T20" i="2"/>
  <c r="T42" i="2"/>
  <c r="T52" i="2"/>
  <c r="T19" i="6"/>
  <c r="T99" i="2"/>
  <c r="S28" i="2"/>
  <c r="S26" i="2"/>
  <c r="S24" i="2"/>
  <c r="S38" i="2" s="1"/>
  <c r="S39" i="2" s="1"/>
  <c r="S21" i="2"/>
  <c r="S27" i="2"/>
  <c r="S40" i="2" s="1"/>
  <c r="S22" i="2"/>
  <c r="S41" i="2" s="1"/>
  <c r="S67" i="2"/>
  <c r="S60" i="2"/>
  <c r="S94" i="2"/>
  <c r="S81" i="2"/>
  <c r="S20" i="6"/>
  <c r="S34" i="6" s="1"/>
  <c r="S25" i="6"/>
  <c r="S26" i="6" s="1"/>
  <c r="S30" i="6"/>
  <c r="S31" i="6" s="1"/>
  <c r="R33" i="2"/>
  <c r="R34" i="2"/>
  <c r="R107" i="2"/>
  <c r="R108" i="2" s="1"/>
  <c r="R37" i="6"/>
  <c r="R35" i="6"/>
  <c r="R36" i="6"/>
  <c r="R38" i="6" s="1"/>
  <c r="V15" i="2"/>
  <c r="U16" i="2"/>
  <c r="U36" i="2" s="1"/>
  <c r="U17" i="2"/>
  <c r="U31" i="2" s="1"/>
  <c r="U84" i="2"/>
  <c r="S46" i="6"/>
  <c r="R62" i="6"/>
  <c r="R63" i="6" s="1"/>
  <c r="N109" i="2"/>
  <c r="N73" i="2"/>
  <c r="N55" i="6"/>
  <c r="N82" i="2"/>
  <c r="C18" i="3"/>
  <c r="O83" i="2"/>
  <c r="O64" i="2"/>
  <c r="O70" i="2" s="1"/>
  <c r="Q107" i="2"/>
  <c r="Q108" i="2" s="1"/>
  <c r="T98" i="2"/>
  <c r="T106" i="2"/>
  <c r="T52" i="6"/>
  <c r="W17" i="6"/>
  <c r="W16" i="6"/>
  <c r="T112" i="2"/>
  <c r="T97" i="2"/>
  <c r="T105" i="2" s="1"/>
  <c r="R22" i="2"/>
  <c r="R41" i="2" s="1"/>
  <c r="R27" i="2"/>
  <c r="R40" i="2" s="1"/>
  <c r="R61" i="2"/>
  <c r="P43" i="2"/>
  <c r="U97" i="2" l="1"/>
  <c r="Q64" i="2"/>
  <c r="Q70" i="2" s="1"/>
  <c r="Q83" i="2"/>
  <c r="Y8" i="2"/>
  <c r="X57" i="2"/>
  <c r="X48" i="2"/>
  <c r="Y7" i="2"/>
  <c r="X47" i="2"/>
  <c r="X56" i="2"/>
  <c r="X15" i="6"/>
  <c r="W24" i="6"/>
  <c r="W29" i="6"/>
  <c r="W61" i="6"/>
  <c r="V44" i="6"/>
  <c r="V50" i="6"/>
  <c r="Y6" i="2"/>
  <c r="X46" i="2"/>
  <c r="X55" i="2"/>
  <c r="X18" i="6"/>
  <c r="X23" i="6"/>
  <c r="X43" i="6"/>
  <c r="X49" i="6"/>
  <c r="X9" i="2"/>
  <c r="W14" i="2"/>
  <c r="W15" i="2" s="1"/>
  <c r="W23" i="2"/>
  <c r="W51" i="2"/>
  <c r="W66" i="2"/>
  <c r="W80" i="2"/>
  <c r="W88" i="2"/>
  <c r="W91" i="2"/>
  <c r="W45" i="6"/>
  <c r="W51" i="6"/>
  <c r="V25" i="2"/>
  <c r="V32" i="2" s="1"/>
  <c r="V37" i="2"/>
  <c r="V89" i="2"/>
  <c r="V90" i="2" s="1"/>
  <c r="V95" i="2"/>
  <c r="V96" i="2"/>
  <c r="W10" i="2"/>
  <c r="V11" i="2"/>
  <c r="V50" i="2"/>
  <c r="V58" i="2"/>
  <c r="V59" i="2" s="1"/>
  <c r="V49" i="2"/>
  <c r="U20" i="2"/>
  <c r="U42" i="2"/>
  <c r="U99" i="2"/>
  <c r="U52" i="2"/>
  <c r="U19" i="6"/>
  <c r="T28" i="2"/>
  <c r="T26" i="2"/>
  <c r="T24" i="2"/>
  <c r="T38" i="2" s="1"/>
  <c r="T39" i="2" s="1"/>
  <c r="T21" i="2"/>
  <c r="T27" i="2"/>
  <c r="T40" i="2" s="1"/>
  <c r="T22" i="2"/>
  <c r="T41" i="2" s="1"/>
  <c r="T94" i="2"/>
  <c r="T101" i="2" s="1"/>
  <c r="T113" i="2" s="1"/>
  <c r="T81" i="2"/>
  <c r="T104" i="2"/>
  <c r="T67" i="2"/>
  <c r="T60" i="2"/>
  <c r="T61" i="2" s="1"/>
  <c r="T20" i="6"/>
  <c r="T34" i="6" s="1"/>
  <c r="T25" i="6"/>
  <c r="T26" i="6" s="1"/>
  <c r="T30" i="6"/>
  <c r="T31" i="6" s="1"/>
  <c r="S33" i="2"/>
  <c r="S34" i="2"/>
  <c r="S35" i="6"/>
  <c r="S37" i="6" s="1"/>
  <c r="S36" i="6"/>
  <c r="S38" i="6" s="1"/>
  <c r="V16" i="2"/>
  <c r="V36" i="2" s="1"/>
  <c r="V17" i="2"/>
  <c r="V31" i="2" s="1"/>
  <c r="V84" i="2"/>
  <c r="T46" i="6"/>
  <c r="S62" i="6"/>
  <c r="S63" i="6" s="1"/>
  <c r="N111" i="2"/>
  <c r="C48" i="3" s="1"/>
  <c r="C46" i="3"/>
  <c r="N110" i="2"/>
  <c r="N85" i="2"/>
  <c r="N75" i="2"/>
  <c r="N74" i="2"/>
  <c r="C30" i="3"/>
  <c r="N56" i="6"/>
  <c r="N57" i="6"/>
  <c r="N58" i="6"/>
  <c r="O109" i="2"/>
  <c r="O73" i="2"/>
  <c r="O55" i="6"/>
  <c r="O82" i="2"/>
  <c r="P83" i="2"/>
  <c r="P64" i="2"/>
  <c r="P70" i="2" s="1"/>
  <c r="U98" i="2"/>
  <c r="R35" i="2"/>
  <c r="U52" i="6"/>
  <c r="X17" i="6"/>
  <c r="X16" i="6"/>
  <c r="U112" i="2"/>
  <c r="U106" i="2"/>
  <c r="S61" i="2"/>
  <c r="S101" i="2"/>
  <c r="S113" i="2" s="1"/>
  <c r="S104" i="2"/>
  <c r="V112" i="2" l="1"/>
  <c r="U105" i="2"/>
  <c r="Q109" i="2"/>
  <c r="Q73" i="2"/>
  <c r="Q55" i="6"/>
  <c r="Q82" i="2"/>
  <c r="Z8" i="2"/>
  <c r="Y57" i="2"/>
  <c r="Y48" i="2"/>
  <c r="Z7" i="2"/>
  <c r="Y47" i="2"/>
  <c r="Y56" i="2"/>
  <c r="Y15" i="6"/>
  <c r="X24" i="6"/>
  <c r="X29" i="6"/>
  <c r="X61" i="6"/>
  <c r="W44" i="6"/>
  <c r="W50" i="6"/>
  <c r="Z6" i="2"/>
  <c r="Y46" i="2"/>
  <c r="Y55" i="2"/>
  <c r="Y18" i="6"/>
  <c r="Y23" i="6"/>
  <c r="Y43" i="6"/>
  <c r="Y49" i="6"/>
  <c r="Y9" i="2"/>
  <c r="X14" i="2"/>
  <c r="X15" i="2" s="1"/>
  <c r="X23" i="2"/>
  <c r="X51" i="2"/>
  <c r="X66" i="2"/>
  <c r="X80" i="2"/>
  <c r="X88" i="2"/>
  <c r="X91" i="2"/>
  <c r="X100" i="2" s="1"/>
  <c r="X45" i="6"/>
  <c r="X51" i="6"/>
  <c r="W25" i="2"/>
  <c r="W32" i="2" s="1"/>
  <c r="W37" i="2"/>
  <c r="W89" i="2"/>
  <c r="W90" i="2"/>
  <c r="W95" i="2"/>
  <c r="W96" i="2"/>
  <c r="X10" i="2"/>
  <c r="W11" i="2"/>
  <c r="W50" i="2"/>
  <c r="W58" i="2"/>
  <c r="W59" i="2" s="1"/>
  <c r="W49" i="2"/>
  <c r="V20" i="2"/>
  <c r="V42" i="2"/>
  <c r="V99" i="2"/>
  <c r="V52" i="2"/>
  <c r="V19" i="6"/>
  <c r="U28" i="2"/>
  <c r="U26" i="2"/>
  <c r="U24" i="2"/>
  <c r="U38" i="2" s="1"/>
  <c r="U39" i="2" s="1"/>
  <c r="U21" i="2"/>
  <c r="U27" i="2" s="1"/>
  <c r="U40" i="2" s="1"/>
  <c r="U22" i="2"/>
  <c r="U41" i="2" s="1"/>
  <c r="U67" i="2"/>
  <c r="U60" i="2"/>
  <c r="U61" i="2" s="1"/>
  <c r="U94" i="2"/>
  <c r="U81" i="2"/>
  <c r="U20" i="6"/>
  <c r="U34" i="6" s="1"/>
  <c r="U25" i="6"/>
  <c r="U26" i="6" s="1"/>
  <c r="U30" i="6"/>
  <c r="U31" i="6" s="1"/>
  <c r="T33" i="2"/>
  <c r="T35" i="2" s="1"/>
  <c r="T43" i="2" s="1"/>
  <c r="T34" i="2"/>
  <c r="T107" i="2"/>
  <c r="T108" i="2"/>
  <c r="T35" i="6"/>
  <c r="T37" i="6" s="1"/>
  <c r="T36" i="6"/>
  <c r="T38" i="6" s="1"/>
  <c r="W16" i="2"/>
  <c r="W36" i="2" s="1"/>
  <c r="W17" i="2"/>
  <c r="W31" i="2" s="1"/>
  <c r="W84" i="2"/>
  <c r="U46" i="6"/>
  <c r="T62" i="6"/>
  <c r="T63" i="6" s="1"/>
  <c r="C47" i="3"/>
  <c r="C31" i="3"/>
  <c r="O111" i="2"/>
  <c r="O110" i="2"/>
  <c r="O85" i="2"/>
  <c r="O75" i="2"/>
  <c r="O76" i="2" s="1"/>
  <c r="O74" i="2"/>
  <c r="O56" i="6"/>
  <c r="O58" i="6"/>
  <c r="O57" i="6"/>
  <c r="P109" i="2"/>
  <c r="P55" i="6"/>
  <c r="P73" i="2"/>
  <c r="P82" i="2"/>
  <c r="R43" i="2"/>
  <c r="S107" i="2"/>
  <c r="S108" i="2" s="1"/>
  <c r="V98" i="2"/>
  <c r="V97" i="2"/>
  <c r="V105" i="2" s="1"/>
  <c r="V106" i="2"/>
  <c r="S35" i="2"/>
  <c r="V52" i="6"/>
  <c r="W52" i="6" s="1"/>
  <c r="Y16" i="6"/>
  <c r="Y17" i="6"/>
  <c r="W100" i="2"/>
  <c r="W99" i="2"/>
  <c r="C32" i="3"/>
  <c r="N76" i="2"/>
  <c r="Q110" i="2" l="1"/>
  <c r="Q111" i="2"/>
  <c r="Q75" i="2"/>
  <c r="Q76" i="2" s="1"/>
  <c r="Q85" i="2"/>
  <c r="Q74" i="2"/>
  <c r="Q58" i="6"/>
  <c r="Q57" i="6"/>
  <c r="Q56" i="6"/>
  <c r="Z48" i="2"/>
  <c r="Z57" i="2"/>
  <c r="Z47" i="2"/>
  <c r="Z56" i="2"/>
  <c r="Z15" i="6"/>
  <c r="Y24" i="6"/>
  <c r="Y29" i="6"/>
  <c r="Y61" i="6"/>
  <c r="X44" i="6"/>
  <c r="X50" i="6"/>
  <c r="X52" i="6" s="1"/>
  <c r="Z46" i="2"/>
  <c r="Z55" i="2"/>
  <c r="Z18" i="6"/>
  <c r="Z23" i="6"/>
  <c r="Z43" i="6"/>
  <c r="Z49" i="6"/>
  <c r="Z9" i="2"/>
  <c r="Y14" i="2"/>
  <c r="Y23" i="2"/>
  <c r="Y51" i="2"/>
  <c r="Y80" i="2"/>
  <c r="Y88" i="2"/>
  <c r="Y91" i="2"/>
  <c r="Y100" i="2" s="1"/>
  <c r="Y66" i="2"/>
  <c r="Y45" i="6"/>
  <c r="Y51" i="6"/>
  <c r="X25" i="2"/>
  <c r="X32" i="2" s="1"/>
  <c r="X37" i="2"/>
  <c r="X89" i="2"/>
  <c r="X90" i="2"/>
  <c r="X95" i="2"/>
  <c r="X96" i="2"/>
  <c r="W112" i="2"/>
  <c r="X112" i="2" s="1"/>
  <c r="W97" i="2"/>
  <c r="Y10" i="2"/>
  <c r="X11" i="2"/>
  <c r="X50" i="2"/>
  <c r="X49" i="2"/>
  <c r="X58" i="2"/>
  <c r="X59" i="2" s="1"/>
  <c r="W20" i="2"/>
  <c r="W42" i="2"/>
  <c r="W52" i="2"/>
  <c r="W19" i="6"/>
  <c r="V28" i="2"/>
  <c r="V26" i="2"/>
  <c r="V24" i="2"/>
  <c r="V38" i="2" s="1"/>
  <c r="V39" i="2" s="1"/>
  <c r="V21" i="2"/>
  <c r="V94" i="2"/>
  <c r="V101" i="2" s="1"/>
  <c r="V113" i="2" s="1"/>
  <c r="V81" i="2"/>
  <c r="V104" i="2"/>
  <c r="V67" i="2"/>
  <c r="V60" i="2"/>
  <c r="V61" i="2" s="1"/>
  <c r="V20" i="6"/>
  <c r="V34" i="6" s="1"/>
  <c r="V25" i="6"/>
  <c r="V26" i="6" s="1"/>
  <c r="V30" i="6"/>
  <c r="V31" i="6" s="1"/>
  <c r="U33" i="2"/>
  <c r="U34" i="2"/>
  <c r="U35" i="6"/>
  <c r="U37" i="6" s="1"/>
  <c r="U36" i="6"/>
  <c r="U38" i="6" s="1"/>
  <c r="T83" i="2"/>
  <c r="T64" i="2"/>
  <c r="T70" i="2" s="1"/>
  <c r="Y15" i="2"/>
  <c r="X16" i="2"/>
  <c r="X36" i="2" s="1"/>
  <c r="X17" i="2"/>
  <c r="X31" i="2" s="1"/>
  <c r="X84" i="2"/>
  <c r="V46" i="6"/>
  <c r="U62" i="6"/>
  <c r="U63" i="6" s="1"/>
  <c r="P110" i="2"/>
  <c r="P111" i="2"/>
  <c r="P58" i="6"/>
  <c r="P57" i="6"/>
  <c r="P56" i="6"/>
  <c r="P85" i="2"/>
  <c r="P75" i="2"/>
  <c r="P76" i="2" s="1"/>
  <c r="P74" i="2"/>
  <c r="R64" i="2"/>
  <c r="R70" i="2" s="1"/>
  <c r="R83" i="2"/>
  <c r="C33" i="3"/>
  <c r="N77" i="2"/>
  <c r="O77" i="2" s="1"/>
  <c r="W98" i="2"/>
  <c r="W105" i="2" s="1"/>
  <c r="W106" i="2"/>
  <c r="Z16" i="6"/>
  <c r="Z17" i="6"/>
  <c r="U101" i="2"/>
  <c r="U113" i="2" s="1"/>
  <c r="U104" i="2"/>
  <c r="S43" i="2"/>
  <c r="X106" i="2" l="1"/>
  <c r="U35" i="2"/>
  <c r="U43" i="2" s="1"/>
  <c r="V27" i="2"/>
  <c r="V40" i="2" s="1"/>
  <c r="V22" i="2"/>
  <c r="V41" i="2" s="1"/>
  <c r="Z24" i="6"/>
  <c r="Z29" i="6"/>
  <c r="Z61" i="6"/>
  <c r="Y44" i="6"/>
  <c r="Y50" i="6"/>
  <c r="Y52" i="6" s="1"/>
  <c r="D11" i="3"/>
  <c r="E11" i="3" s="1"/>
  <c r="D5" i="3"/>
  <c r="E5" i="3" s="1"/>
  <c r="Z14" i="2"/>
  <c r="Z15" i="2" s="1"/>
  <c r="Z23" i="2"/>
  <c r="Z51" i="2"/>
  <c r="Z66" i="2"/>
  <c r="D26" i="3" s="1"/>
  <c r="E26" i="3" s="1"/>
  <c r="Z80" i="2"/>
  <c r="Z88" i="2"/>
  <c r="Z91" i="2"/>
  <c r="Z45" i="6"/>
  <c r="Z51" i="6"/>
  <c r="Y25" i="2"/>
  <c r="Y32" i="2" s="1"/>
  <c r="Y37" i="2"/>
  <c r="Y89" i="2"/>
  <c r="Y90" i="2"/>
  <c r="Y95" i="2"/>
  <c r="Y96" i="2"/>
  <c r="Z10" i="2"/>
  <c r="Y11" i="2"/>
  <c r="Y50" i="2"/>
  <c r="Y58" i="2"/>
  <c r="Y59" i="2" s="1"/>
  <c r="Y49" i="2"/>
  <c r="X20" i="2"/>
  <c r="X42" i="2"/>
  <c r="X52" i="2"/>
  <c r="X19" i="6"/>
  <c r="X99" i="2"/>
  <c r="W28" i="2"/>
  <c r="W26" i="2"/>
  <c r="W24" i="2"/>
  <c r="W38" i="2" s="1"/>
  <c r="W39" i="2" s="1"/>
  <c r="W21" i="2"/>
  <c r="W27" i="2"/>
  <c r="W40" i="2" s="1"/>
  <c r="W22" i="2"/>
  <c r="W41" i="2" s="1"/>
  <c r="W94" i="2"/>
  <c r="W101" i="2" s="1"/>
  <c r="W81" i="2"/>
  <c r="W113" i="2"/>
  <c r="W104" i="2"/>
  <c r="W67" i="2"/>
  <c r="W60" i="2"/>
  <c r="W61" i="2" s="1"/>
  <c r="W20" i="6"/>
  <c r="W34" i="6" s="1"/>
  <c r="W25" i="6"/>
  <c r="W26" i="6" s="1"/>
  <c r="W30" i="6"/>
  <c r="W31" i="6" s="1"/>
  <c r="V33" i="2"/>
  <c r="V34" i="2"/>
  <c r="V107" i="2"/>
  <c r="V108" i="2"/>
  <c r="V35" i="6"/>
  <c r="V37" i="6" s="1"/>
  <c r="V36" i="6"/>
  <c r="V38" i="6" s="1"/>
  <c r="U83" i="2"/>
  <c r="U64" i="2"/>
  <c r="U70" i="2" s="1"/>
  <c r="T109" i="2"/>
  <c r="T73" i="2"/>
  <c r="T55" i="6"/>
  <c r="T82" i="2"/>
  <c r="Y16" i="2"/>
  <c r="Y36" i="2" s="1"/>
  <c r="Y17" i="2"/>
  <c r="Y31" i="2" s="1"/>
  <c r="Y84" i="2"/>
  <c r="W46" i="6"/>
  <c r="V62" i="6"/>
  <c r="V63" i="6" s="1"/>
  <c r="R55" i="6"/>
  <c r="R109" i="2"/>
  <c r="R73" i="2"/>
  <c r="R82" i="2"/>
  <c r="U107" i="2"/>
  <c r="U108" i="2" s="1"/>
  <c r="S83" i="2"/>
  <c r="S64" i="2"/>
  <c r="S70" i="2" s="1"/>
  <c r="X98" i="2"/>
  <c r="X97" i="2"/>
  <c r="P77" i="2"/>
  <c r="Q77" i="2" s="1"/>
  <c r="X105" i="2" l="1"/>
  <c r="V35" i="2"/>
  <c r="V43" i="2" s="1"/>
  <c r="Z44" i="6"/>
  <c r="Z50" i="6"/>
  <c r="Z52" i="6" s="1"/>
  <c r="Z25" i="2"/>
  <c r="Z32" i="2" s="1"/>
  <c r="Z37" i="2"/>
  <c r="D36" i="3"/>
  <c r="E36" i="3" s="1"/>
  <c r="Z89" i="2"/>
  <c r="Z90" i="2" s="1"/>
  <c r="Z95" i="2"/>
  <c r="Z96" i="2"/>
  <c r="D37" i="3"/>
  <c r="E37" i="3" s="1"/>
  <c r="Z100" i="2"/>
  <c r="Y97" i="2"/>
  <c r="Y112" i="2"/>
  <c r="Z11" i="2"/>
  <c r="Z50" i="2"/>
  <c r="Z49" i="2"/>
  <c r="Z58" i="2"/>
  <c r="Z59" i="2" s="1"/>
  <c r="D6" i="3"/>
  <c r="E6" i="3" s="1"/>
  <c r="Y20" i="2"/>
  <c r="Y42" i="2"/>
  <c r="Y99" i="2"/>
  <c r="Y105" i="2" s="1"/>
  <c r="Y52" i="2"/>
  <c r="Y19" i="6"/>
  <c r="X28" i="2"/>
  <c r="X26" i="2"/>
  <c r="X24" i="2"/>
  <c r="X38" i="2" s="1"/>
  <c r="X39" i="2" s="1"/>
  <c r="X21" i="2"/>
  <c r="X27" i="2"/>
  <c r="X40" i="2" s="1"/>
  <c r="X22" i="2"/>
  <c r="X41" i="2" s="1"/>
  <c r="X60" i="2"/>
  <c r="X61" i="2"/>
  <c r="X67" i="2"/>
  <c r="X94" i="2"/>
  <c r="X81" i="2"/>
  <c r="X20" i="6"/>
  <c r="X34" i="6" s="1"/>
  <c r="X25" i="6"/>
  <c r="X26" i="6" s="1"/>
  <c r="X30" i="6"/>
  <c r="X31" i="6" s="1"/>
  <c r="W33" i="2"/>
  <c r="W34" i="2"/>
  <c r="W107" i="2"/>
  <c r="W108" i="2" s="1"/>
  <c r="W35" i="6"/>
  <c r="W37" i="6" s="1"/>
  <c r="W36" i="6"/>
  <c r="W38" i="6" s="1"/>
  <c r="V83" i="2"/>
  <c r="V64" i="2"/>
  <c r="V70" i="2" s="1"/>
  <c r="U73" i="2"/>
  <c r="U55" i="6"/>
  <c r="U82" i="2"/>
  <c r="T110" i="2"/>
  <c r="T111" i="2"/>
  <c r="T85" i="2"/>
  <c r="T75" i="2"/>
  <c r="T76" i="2" s="1"/>
  <c r="T74" i="2"/>
  <c r="T58" i="6"/>
  <c r="T57" i="6"/>
  <c r="T56" i="6"/>
  <c r="Z16" i="2"/>
  <c r="Z36" i="2" s="1"/>
  <c r="Z17" i="2"/>
  <c r="Z31" i="2" s="1"/>
  <c r="Z84" i="2"/>
  <c r="D8" i="3"/>
  <c r="E8" i="3" s="1"/>
  <c r="X46" i="6"/>
  <c r="W62" i="6"/>
  <c r="W63" i="6" s="1"/>
  <c r="R58" i="6"/>
  <c r="R57" i="6"/>
  <c r="R56" i="6"/>
  <c r="R110" i="2"/>
  <c r="R111" i="2"/>
  <c r="R85" i="2"/>
  <c r="R75" i="2"/>
  <c r="R76" i="2" s="1"/>
  <c r="R74" i="2"/>
  <c r="U109" i="2"/>
  <c r="S109" i="2"/>
  <c r="S73" i="2"/>
  <c r="S55" i="6"/>
  <c r="S82" i="2"/>
  <c r="Y98" i="2"/>
  <c r="Y106" i="2"/>
  <c r="Z97" i="2" l="1"/>
  <c r="Z20" i="2"/>
  <c r="Z42" i="2"/>
  <c r="D24" i="3" s="1"/>
  <c r="E24" i="3" s="1"/>
  <c r="D7" i="3"/>
  <c r="E7" i="3" s="1"/>
  <c r="Z52" i="2"/>
  <c r="D12" i="3"/>
  <c r="E12" i="3" s="1"/>
  <c r="Z19" i="6"/>
  <c r="Z99" i="2"/>
  <c r="D14" i="3"/>
  <c r="E14" i="3" s="1"/>
  <c r="Y28" i="2"/>
  <c r="Y26" i="2"/>
  <c r="Y24" i="2"/>
  <c r="Y38" i="2" s="1"/>
  <c r="Y39" i="2" s="1"/>
  <c r="Y21" i="2"/>
  <c r="Y27" i="2"/>
  <c r="Y40" i="2" s="1"/>
  <c r="Y22" i="2"/>
  <c r="Y41" i="2" s="1"/>
  <c r="Y60" i="2"/>
  <c r="Y61" i="2"/>
  <c r="Y67" i="2"/>
  <c r="Y94" i="2"/>
  <c r="Y81" i="2"/>
  <c r="Y20" i="6"/>
  <c r="Y34" i="6" s="1"/>
  <c r="Y25" i="6"/>
  <c r="Y26" i="6" s="1"/>
  <c r="Y30" i="6"/>
  <c r="Y31" i="6" s="1"/>
  <c r="X33" i="2"/>
  <c r="X34" i="2"/>
  <c r="X35" i="6"/>
  <c r="X37" i="6" s="1"/>
  <c r="X36" i="6"/>
  <c r="X38" i="6" s="1"/>
  <c r="V109" i="2"/>
  <c r="V73" i="2"/>
  <c r="V55" i="6"/>
  <c r="V82" i="2"/>
  <c r="U75" i="2"/>
  <c r="U76" i="2" s="1"/>
  <c r="U85" i="2"/>
  <c r="U74" i="2"/>
  <c r="U56" i="6"/>
  <c r="U57" i="6"/>
  <c r="U58" i="6"/>
  <c r="Y46" i="6"/>
  <c r="X62" i="6"/>
  <c r="X63" i="6" s="1"/>
  <c r="R77" i="2"/>
  <c r="U110" i="2"/>
  <c r="U111" i="2"/>
  <c r="S111" i="2"/>
  <c r="S110" i="2"/>
  <c r="S85" i="2"/>
  <c r="S75" i="2"/>
  <c r="S76" i="2" s="1"/>
  <c r="S74" i="2"/>
  <c r="S56" i="6"/>
  <c r="S58" i="6"/>
  <c r="S57" i="6"/>
  <c r="Z98" i="2"/>
  <c r="Z112" i="2"/>
  <c r="W35" i="2"/>
  <c r="W43" i="2" s="1"/>
  <c r="Z106" i="2"/>
  <c r="X101" i="2"/>
  <c r="X113" i="2" s="1"/>
  <c r="X104" i="2"/>
  <c r="Z105" i="2" l="1"/>
  <c r="D43" i="3" s="1"/>
  <c r="E43" i="3" s="1"/>
  <c r="Z28" i="2"/>
  <c r="Z26" i="2"/>
  <c r="Z24" i="2"/>
  <c r="Z38" i="2" s="1"/>
  <c r="Z39" i="2" s="1"/>
  <c r="D21" i="3" s="1"/>
  <c r="E21" i="3" s="1"/>
  <c r="Z21" i="2"/>
  <c r="Z67" i="2"/>
  <c r="D27" i="3" s="1"/>
  <c r="E27" i="3" s="1"/>
  <c r="Z60" i="2"/>
  <c r="Z61" i="2" s="1"/>
  <c r="D10" i="3"/>
  <c r="Z94" i="2"/>
  <c r="Z81" i="2"/>
  <c r="Z20" i="6"/>
  <c r="Z34" i="6" s="1"/>
  <c r="Z25" i="6"/>
  <c r="Z26" i="6" s="1"/>
  <c r="Z30" i="6"/>
  <c r="Z31" i="6" s="1"/>
  <c r="Y33" i="2"/>
  <c r="Y34" i="2"/>
  <c r="Y35" i="6"/>
  <c r="Y37" i="6" s="1"/>
  <c r="Y36" i="6"/>
  <c r="Y38" i="6" s="1"/>
  <c r="V110" i="2"/>
  <c r="V111" i="2"/>
  <c r="V85" i="2"/>
  <c r="V75" i="2"/>
  <c r="V76" i="2" s="1"/>
  <c r="V77" i="2" s="1"/>
  <c r="V74" i="2"/>
  <c r="V58" i="6"/>
  <c r="V57" i="6"/>
  <c r="V56" i="6"/>
  <c r="Z46" i="6"/>
  <c r="Z62" i="6" s="1"/>
  <c r="Z63" i="6" s="1"/>
  <c r="Y62" i="6"/>
  <c r="Y63" i="6" s="1"/>
  <c r="W64" i="2"/>
  <c r="W70" i="2" s="1"/>
  <c r="W83" i="2"/>
  <c r="X107" i="2"/>
  <c r="X108" i="2" s="1"/>
  <c r="X35" i="2"/>
  <c r="X43" i="2" s="1"/>
  <c r="S77" i="2"/>
  <c r="T77" i="2" s="1"/>
  <c r="U77" i="2" s="1"/>
  <c r="Y101" i="2"/>
  <c r="Y113" i="2" s="1"/>
  <c r="Y104" i="2"/>
  <c r="Z27" i="2" l="1"/>
  <c r="Z40" i="2" s="1"/>
  <c r="D22" i="3" s="1"/>
  <c r="E22" i="3" s="1"/>
  <c r="Z22" i="2"/>
  <c r="Z41" i="2" s="1"/>
  <c r="D23" i="3" s="1"/>
  <c r="E23" i="3" s="1"/>
  <c r="Z33" i="2"/>
  <c r="Z34" i="2"/>
  <c r="D15" i="3"/>
  <c r="E10" i="3"/>
  <c r="Z35" i="6"/>
  <c r="Z37" i="6" s="1"/>
  <c r="Z36" i="6"/>
  <c r="Z38" i="6" s="1"/>
  <c r="W109" i="2"/>
  <c r="W73" i="2"/>
  <c r="W55" i="6"/>
  <c r="W82" i="2"/>
  <c r="X64" i="2"/>
  <c r="X70" i="2" s="1"/>
  <c r="X83" i="2"/>
  <c r="Y107" i="2"/>
  <c r="Y108" i="2" s="1"/>
  <c r="Y35" i="2"/>
  <c r="Y43" i="2" s="1"/>
  <c r="Z101" i="2"/>
  <c r="Z104" i="2"/>
  <c r="E39" i="3" l="1"/>
  <c r="W110" i="2"/>
  <c r="W111" i="2"/>
  <c r="W85" i="2"/>
  <c r="W75" i="2"/>
  <c r="W76" i="2" s="1"/>
  <c r="W77" i="2" s="1"/>
  <c r="W74" i="2"/>
  <c r="W57" i="6"/>
  <c r="W58" i="6"/>
  <c r="W56" i="6"/>
  <c r="X109" i="2"/>
  <c r="X73" i="2"/>
  <c r="X55" i="6"/>
  <c r="X82" i="2"/>
  <c r="Y64" i="2"/>
  <c r="Y70" i="2" s="1"/>
  <c r="Y83" i="2"/>
  <c r="Z113" i="2"/>
  <c r="D38" i="3"/>
  <c r="Z107" i="2"/>
  <c r="Z108" i="2" s="1"/>
  <c r="D42" i="3"/>
  <c r="Z35" i="2"/>
  <c r="E15" i="3"/>
  <c r="E16" i="3" s="1"/>
  <c r="D16" i="3"/>
  <c r="E38" i="3" l="1"/>
  <c r="D39" i="3"/>
  <c r="X110" i="2"/>
  <c r="X111" i="2"/>
  <c r="X85" i="2"/>
  <c r="X75" i="2"/>
  <c r="X76" i="2" s="1"/>
  <c r="X77" i="2" s="1"/>
  <c r="X74" i="2"/>
  <c r="X56" i="6"/>
  <c r="X57" i="6"/>
  <c r="X58" i="6"/>
  <c r="Y109" i="2"/>
  <c r="Y73" i="2"/>
  <c r="Y82" i="2"/>
  <c r="Y55" i="6"/>
  <c r="D44" i="3"/>
  <c r="E42" i="3"/>
  <c r="Z43" i="2"/>
  <c r="D20" i="3"/>
  <c r="E20" i="3" s="1"/>
  <c r="Y110" i="2" l="1"/>
  <c r="Y111" i="2"/>
  <c r="Y85" i="2"/>
  <c r="Y76" i="2"/>
  <c r="Y77" i="2" s="1"/>
  <c r="Y75" i="2"/>
  <c r="Y74" i="2"/>
  <c r="Y56" i="6"/>
  <c r="Y58" i="6"/>
  <c r="Y57" i="6"/>
  <c r="E45" i="3"/>
  <c r="Z83" i="2"/>
  <c r="D19" i="3"/>
  <c r="E19" i="3" s="1"/>
  <c r="Z64" i="2"/>
  <c r="Z70" i="2" s="1"/>
  <c r="E44" i="3"/>
  <c r="D45" i="3"/>
  <c r="Z109" i="2" l="1"/>
  <c r="Z73" i="2"/>
  <c r="Z55" i="6"/>
  <c r="Z82" i="2"/>
  <c r="D18" i="3"/>
  <c r="E18" i="3" s="1"/>
  <c r="Z111" i="2" l="1"/>
  <c r="D48" i="3" s="1"/>
  <c r="E48" i="3" s="1"/>
  <c r="D46" i="3"/>
  <c r="Z110" i="2"/>
  <c r="Z85" i="2"/>
  <c r="Z75" i="2"/>
  <c r="D30" i="3"/>
  <c r="Z74" i="2"/>
  <c r="Z56" i="6"/>
  <c r="Z58" i="6"/>
  <c r="Z57" i="6"/>
  <c r="D47" i="3" l="1"/>
  <c r="E46" i="3"/>
  <c r="E47" i="3" s="1"/>
  <c r="D31" i="3"/>
  <c r="E30" i="3"/>
  <c r="E31" i="3" s="1"/>
  <c r="D32" i="3"/>
  <c r="E32" i="3" s="1"/>
  <c r="Z76" i="2"/>
  <c r="D33" i="3" l="1"/>
  <c r="E33" i="3" s="1"/>
  <c r="Z77" i="2"/>
</calcChain>
</file>

<file path=xl/sharedStrings.xml><?xml version="1.0" encoding="utf-8"?>
<sst xmlns="http://schemas.openxmlformats.org/spreadsheetml/2006/main" count="663" uniqueCount="590">
  <si>
    <t>MemoryCharm Financial Model — Assumptions</t>
  </si>
  <si>
    <t>Yellow cells are editable — change them to see impact on Projections &amp; Summary sheets</t>
  </si>
  <si>
    <t>CHARM PRICING (Retail to Consumer)</t>
  </si>
  <si>
    <t>Tier</t>
  </si>
  <si>
    <t>Unit Price</t>
  </si>
  <si>
    <t>COGS / Unit</t>
  </si>
  <si>
    <t>Gross Margin</t>
  </si>
  <si>
    <t>10-Year Charm</t>
  </si>
  <si>
    <t>15-Year Charm</t>
  </si>
  <si>
    <t>Retail (Perpetual) Charm</t>
  </si>
  <si>
    <t>UPSELL / ADD-ON PRICING</t>
  </si>
  <si>
    <t>Product</t>
  </si>
  <si>
    <t>Price</t>
  </si>
  <si>
    <t>Cost</t>
  </si>
  <si>
    <t>Margin</t>
  </si>
  <si>
    <t>Extend Memory (+5 years)</t>
  </si>
  <si>
    <t>Upgrade Tier (avg revenue per upgrade)</t>
  </si>
  <si>
    <t>Gift Wrap</t>
  </si>
  <si>
    <t>MONTHLY UNIT SALES (Starting Month 1)</t>
  </si>
  <si>
    <t>Item</t>
  </si>
  <si>
    <t>Units / Month</t>
  </si>
  <si>
    <t>MoM Growth %</t>
  </si>
  <si>
    <t>10-Year Charms</t>
  </si>
  <si>
    <t>15-Year Charms</t>
  </si>
  <si>
    <t>Retail (Perpetual) Charms</t>
  </si>
  <si>
    <t>UPSELL ATTACH RATES</t>
  </si>
  <si>
    <t>Extend Memory (monthly % of cumulative base)</t>
  </si>
  <si>
    <t>Applied to cumulative charms sold</t>
  </si>
  <si>
    <t>Upgrade Tier (monthly % of cumulative base)</t>
  </si>
  <si>
    <t>Gift Wrap (% of new monthly charm sales)</t>
  </si>
  <si>
    <t>CONTENT SIZE ASSUMPTIONS</t>
  </si>
  <si>
    <t>API enforces 150 MB max per charm</t>
  </si>
  <si>
    <t>Media Type</t>
  </si>
  <si>
    <t>Avg Size (MB)</t>
  </si>
  <si>
    <t>% of Charms</t>
  </si>
  <si>
    <t>Weighted MB</t>
  </si>
  <si>
    <t>Weighted MB = Size x Mix %</t>
  </si>
  <si>
    <t>Video charms (single mp4/webm/mov)</t>
  </si>
  <si>
    <t>iPhone 1080p: HEVC ~20MB, H.264 ~65MB, 4K ~67MB for 30s</t>
  </si>
  <si>
    <t>Image gallery charms (1-20 images)</t>
  </si>
  <si>
    <t>~4-6 iPhone photos avg at 2.5-4 MB each (HEIF/JPEG)</t>
  </si>
  <si>
    <t>Audio charms (single mp3/wav/ogg/aac)</t>
  </si>
  <si>
    <t>Voice message or song clip, 1-3 min</t>
  </si>
  <si>
    <t>Mix total (should = 100%)</t>
  </si>
  <si>
    <t>WEIGHTED AVG CONTENT SIZE (MB per charm)</t>
  </si>
  <si>
    <t>Used for all storage cost calculations below</t>
  </si>
  <si>
    <t>Charm claim rate (% sold that get activated)</t>
  </si>
  <si>
    <t>Unclaimed charms use zero storage</t>
  </si>
  <si>
    <t>Re-upload rate (% charms re-uploaded in 14-day settling)</t>
  </si>
  <si>
    <t>Each re-upload = delete old + write new (extra ops)</t>
  </si>
  <si>
    <t>PLAYBACK &amp; API REQUEST VOLUME</t>
  </si>
  <si>
    <t>Avg views per charm per month (first 3 months)</t>
  </si>
  <si>
    <t>Novelty period — owner + shared views</t>
  </si>
  <si>
    <t>Avg views per charm per month (after 3 months)</t>
  </si>
  <si>
    <t>Long-tail: occasional revisits</t>
  </si>
  <si>
    <t>% of views requiring glyph verification</t>
  </si>
  <si>
    <t>Each glyph verify = 1 extra API call + Table write</t>
  </si>
  <si>
    <t>API CALLS PER CHARM LIFECYCLE (one-time)</t>
  </si>
  <si>
    <t>claim + configure + get-upload-urls + finalize + owner-preview</t>
  </si>
  <si>
    <t>Table Storage writes per charm setup</t>
  </si>
  <si>
    <t>charm entity + user-charm + profile + request log (sampled)</t>
  </si>
  <si>
    <t>Table Storage reads per charm view</t>
  </si>
  <si>
    <t>GetCharm (entity lookup + rate-limit check + request log)</t>
  </si>
  <si>
    <t>AZURE BLOB STORAGE — COOL TIER (Backup)</t>
  </si>
  <si>
    <t>Azure is backup; R2 is primary CDN delivery</t>
  </si>
  <si>
    <t>Cost Component</t>
  </si>
  <si>
    <t>Rate</t>
  </si>
  <si>
    <t>Unit</t>
  </si>
  <si>
    <t>Storage (per GB per month)</t>
  </si>
  <si>
    <t>$/GB/month</t>
  </si>
  <si>
    <t>Cool tier — $0.01/GB. Cold = $0.0036 (higher access)</t>
  </si>
  <si>
    <t>Write operations (per 10,000 ops)</t>
  </si>
  <si>
    <t>$/10K writes</t>
  </si>
  <si>
    <t>PUT/Create blob — initial upload + re-uploads</t>
  </si>
  <si>
    <t>Read operations (per 10,000 ops)</t>
  </si>
  <si>
    <t>$/10K reads</t>
  </si>
  <si>
    <t>GET blob — fallback downloads only (R2 is primary)</t>
  </si>
  <si>
    <t>Data retrieval (per GB downloaded)</t>
  </si>
  <si>
    <t>$/GB retrieval</t>
  </si>
  <si>
    <t>Cool tier read penalty — only on Azure fallback reads</t>
  </si>
  <si>
    <t>Data egress (per GB, first 100 GB free/mo)</t>
  </si>
  <si>
    <t>$/GB egress</t>
  </si>
  <si>
    <t>Only if client falls back from R2 — normally $0</t>
  </si>
  <si>
    <t>CLOUDFLARE R2 (Primary CDN — Zero Egress)</t>
  </si>
  <si>
    <t>S3-compatible; zero bandwidth/egress fees</t>
  </si>
  <si>
    <t>First 10 GB free; $0.015/GB after</t>
  </si>
  <si>
    <t>Class A ops — writes (per 1,000,000 ops)</t>
  </si>
  <si>
    <t>$/1M Class A</t>
  </si>
  <si>
    <t>PUT/POST/LIST — uploads, re-uploads, finalize checks</t>
  </si>
  <si>
    <t>Class B ops — reads (per 1,000,000 ops)</t>
  </si>
  <si>
    <t>$/1M Class B</t>
  </si>
  <si>
    <t>GET — every charm playback downloads from R2</t>
  </si>
  <si>
    <t>Egress (bandwidth)</t>
  </si>
  <si>
    <t>$/GB</t>
  </si>
  <si>
    <t>ZERO — Cloudflare's key advantage</t>
  </si>
  <si>
    <t>R2 free tier (storage GB included free)</t>
  </si>
  <si>
    <t>GB free/month</t>
  </si>
  <si>
    <t>Also: 10M Class A free, 10M Class B free per month</t>
  </si>
  <si>
    <t>AZURE TABLE STORAGE (Metadata &amp; Telemetry)</t>
  </si>
  <si>
    <t>Charm entities, profiles, user-charms, request logs</t>
  </si>
  <si>
    <t>Transactions (per 10,000)</t>
  </si>
  <si>
    <t>$/10K txns</t>
  </si>
  <si>
    <t>Each read/write/query = 1 transaction</t>
  </si>
  <si>
    <t>Avg entity size (KB per charm record set)</t>
  </si>
  <si>
    <t>KB</t>
  </si>
  <si>
    <t>charm + user-charm + profile share ≈ 2 KB total</t>
  </si>
  <si>
    <t>AZURE FUNCTIONS — CONSUMPTION PLAN</t>
  </si>
  <si>
    <t>Executions (per 1,000,000)</t>
  </si>
  <si>
    <t>$/1M executions</t>
  </si>
  <si>
    <t>First 1M/month FREE; then $0.20/million</t>
  </si>
  <si>
    <t>Compute (per GB-second)</t>
  </si>
  <si>
    <t>$/GB-s</t>
  </si>
  <si>
    <t>First 400K GB-s FREE; ~128MB × 200ms avg per call</t>
  </si>
  <si>
    <t>Avg execution duration (ms)</t>
  </si>
  <si>
    <t>milliseconds</t>
  </si>
  <si>
    <t>Typical for table lookup + SAS URL generation</t>
  </si>
  <si>
    <t>Memory allocation (MB)</t>
  </si>
  <si>
    <t>MB</t>
  </si>
  <si>
    <t>Consumption plan default; 128 MB minimum</t>
  </si>
  <si>
    <t>Free tier executions (per month)</t>
  </si>
  <si>
    <t>executions</t>
  </si>
  <si>
    <t>Free tier GB-seconds (per month)</t>
  </si>
  <si>
    <t>GB-seconds</t>
  </si>
  <si>
    <t>OTHER PLATFORM COSTS (Monthly Fixed)</t>
  </si>
  <si>
    <t>Monthly Cost</t>
  </si>
  <si>
    <t>Notes</t>
  </si>
  <si>
    <t>Entra CIAM (Authentication)</t>
  </si>
  <si>
    <t>Free: 50K MAU. $0.0025/MAU after that</t>
  </si>
  <si>
    <t>Per-MAU charge applies only beyond 50K monthly active users</t>
  </si>
  <si>
    <t>CIAM per-MAU cost (beyond 50K free)</t>
  </si>
  <si>
    <t>$/MAU above 50K</t>
  </si>
  <si>
    <t>Domain / SSL / DNS</t>
  </si>
  <si>
    <t>Application Insights / Monitoring</t>
  </si>
  <si>
    <t>First 5 GB/mo free ingestion</t>
  </si>
  <si>
    <t>OPERATING EXPENSES (Monthly)</t>
  </si>
  <si>
    <t>Expense</t>
  </si>
  <si>
    <t>Marketing / Customer Acquisition</t>
  </si>
  <si>
    <t>Shipping &amp; Fulfillment (per charm shipped)</t>
  </si>
  <si>
    <t>Per unit shipped</t>
  </si>
  <si>
    <t>Payment Processing (% of revenue)</t>
  </si>
  <si>
    <t>Stripe / processor fee</t>
  </si>
  <si>
    <t>Customer Support</t>
  </si>
  <si>
    <t>Insurance / Legal / Misc</t>
  </si>
  <si>
    <t>OTHER ASSUMPTIONS</t>
  </si>
  <si>
    <t>Tax rate (on positive EBITDA)</t>
  </si>
  <si>
    <t>RETURNS &amp; REPLACEMENTS</t>
  </si>
  <si>
    <t>Industry avg for specialty/gift items: 5-10% returns, 2-4% defects</t>
  </si>
  <si>
    <t>Rate / Cost</t>
  </si>
  <si>
    <t>Return rate (% of monthly charm sales returned)</t>
  </si>
  <si>
    <t>Specialty/gift items — lower than general e-commerce</t>
  </si>
  <si>
    <t>E-commerce avg ~15-30%; gift/keepsake items typically 5-8%</t>
  </si>
  <si>
    <t>% of returns that are pre-claim (restockable)</t>
  </si>
  <si>
    <t>Charm bought but never claimed/configured</t>
  </si>
  <si>
    <t>Pre-claim charms can be wiped and resold; post-claim are dead stock</t>
  </si>
  <si>
    <t>Restocking salvage (% of COGS recovered on pre-claim returns)</t>
  </si>
  <si>
    <t>Repackage &amp; resell; some cosmetic loss</t>
  </si>
  <si>
    <t>Pre-claim charms only — post-claim have content, cannot resell</t>
  </si>
  <si>
    <t>Return shipping cost (company pays, per unit)</t>
  </si>
  <si>
    <t>Return label cost; higher than outbound due to reverse logistics</t>
  </si>
  <si>
    <t>Return processing / handling cost (per unit)</t>
  </si>
  <si>
    <t>Inspect, wipe NFC, repackage or dispose</t>
  </si>
  <si>
    <t>Replacement / defect rate (% of sales needing free replacement)</t>
  </si>
  <si>
    <t>NFC failure, shipping damage, manufacturing defect</t>
  </si>
  <si>
    <t>Industry avg for electronics-adjacent: 2-5%</t>
  </si>
  <si>
    <t>Replacement shipping cost (per unit)</t>
  </si>
  <si>
    <t>Same as outbound; may include expedited for goodwill</t>
  </si>
  <si>
    <t>Replacement COGS (% of original — may use cheaper housing)</t>
  </si>
  <si>
    <t>100% = full COGS; could be lower if reusing parts</t>
  </si>
  <si>
    <t>MemoryCharm — 24-Month Financial Projections</t>
  </si>
  <si>
    <t>All values driven by Assumptions sheet — change inputs there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</si>
  <si>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</si>
  <si>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</si>
  <si>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</si>
  <si>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</si>
  <si>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</si>
  <si>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</si>
  <si>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</si>
  <si>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</si>
  <si>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</si>
  <si>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</si>
  <si>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</si>
  <si>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</si>
  <si>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</si>
  <si>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</si>
  <si>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</si>
  <si>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</si>
  <si>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</si>
  <si>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</si>
  <si>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</si>
  <si>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</si>
  <si>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</si>
  <si>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</si>
  <si>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</si>
  <si>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</si>
  <si>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UNIT SALES</t>
  </si>
  <si>
    <t>10-Year Charms Sold</t>
  </si>
  <si>
    <t>15-Year Charms Sold</t>
  </si>
  <si>
    <t>Retail (Perpetual) Charms Sold</t>
  </si>
  <si>
    <t>Total Charms Sold (Month)</t>
  </si>
  <si>
    <t>Cumulative Charms Sold</t>
  </si>
  <si>
    <t>Active Charms (claimed, storing content)</t>
  </si>
  <si>
    <t>STORAGE VOLUME</t>
  </si>
  <si>
    <t>New Content Uploaded (GB)</t>
  </si>
  <si>
    <t>Cumulative Content Stored (GB)</t>
  </si>
  <si>
    <t xml:space="preserve">  Cloudflare R2 Storage (GB)</t>
  </si>
  <si>
    <t xml:space="preserve">  Azure Blob Cool Storage (GB)</t>
  </si>
  <si>
    <t>API &amp; STORAGE REQUEST VOLUME</t>
  </si>
  <si>
    <t>Total Charm Playback Views (month)</t>
  </si>
  <si>
    <t>Glyph Verification API Calls</t>
  </si>
  <si>
    <t>Total Azure Functions Invocations</t>
  </si>
  <si>
    <t>R2 Class A Ops (Writes)</t>
  </si>
  <si>
    <t>R2 Class B Ops (Reads / Playback)</t>
  </si>
  <si>
    <t>Azure Blob Write Ops (Backup Uploads)</t>
  </si>
  <si>
    <t>Azure Blob Read Ops (Fallback — est 2%)</t>
  </si>
  <si>
    <t>Azure Table Transactions (Total)</t>
  </si>
  <si>
    <t>R2 Playback Bandwidth (GB) — FREE egress</t>
  </si>
  <si>
    <t>INFRASTRUCTURE COST BREAKDOWN</t>
  </si>
  <si>
    <t xml:space="preserve">  Azure Blob: Storage Cost</t>
  </si>
  <si>
    <t xml:space="preserve">  Azure Blob: Write Operations</t>
  </si>
  <si>
    <t xml:space="preserve">  Azure Blob: Read Ops (Fallback)</t>
  </si>
  <si>
    <t xml:space="preserve">  Azure Blob: Data Retrieval (Fallback)</t>
  </si>
  <si>
    <t>Azure Blob Total</t>
  </si>
  <si>
    <t xml:space="preserve">  R2: Storage Cost</t>
  </si>
  <si>
    <t xml:space="preserve">  R2: Class A Ops (Writes)</t>
  </si>
  <si>
    <t xml:space="preserve">  R2: Class B Ops (Reads)</t>
  </si>
  <si>
    <t>Cloudflare R2 Total</t>
  </si>
  <si>
    <t>Azure Table Storage</t>
  </si>
  <si>
    <t>Azure Functions (Compute)</t>
  </si>
  <si>
    <t>Other Platform (CIAM + DNS + Monitoring)</t>
  </si>
  <si>
    <t>TOTAL INFRASTRUCTURE</t>
  </si>
  <si>
    <t>REVENUE</t>
  </si>
  <si>
    <t>10-Year Charm Revenue</t>
  </si>
  <si>
    <t>15-Year Charm Revenue</t>
  </si>
  <si>
    <t>Retail (Perpetual) Charm Revenue</t>
  </si>
  <si>
    <t>Extend Memory Revenue</t>
  </si>
  <si>
    <t>Upgrade Tier Revenue</t>
  </si>
  <si>
    <t>Gift Wrap Revenue</t>
  </si>
  <si>
    <t>TOTAL REVENUE</t>
  </si>
  <si>
    <t>COST OF GOODS SOLD</t>
  </si>
  <si>
    <t>10-Year Charm COGS</t>
  </si>
  <si>
    <t>15-Year Charm COGS</t>
  </si>
  <si>
    <t>Retail (Perpetual) Charm COGS</t>
  </si>
  <si>
    <t>Upsell COGS</t>
  </si>
  <si>
    <t>TOTAL COGS</t>
  </si>
  <si>
    <t>GROSS PROFIT</t>
  </si>
  <si>
    <t>Gross Margin %</t>
  </si>
  <si>
    <t>OPERATING EXPENSES</t>
  </si>
  <si>
    <t>Infrastructure (see breakdown above)</t>
  </si>
  <si>
    <t>Shipping &amp; Fulfillment</t>
  </si>
  <si>
    <t>Payment Processing</t>
  </si>
  <si>
    <t>TOTAL OPERATING EXPENSES</t>
  </si>
  <si>
    <t>PROFIT &amp; LOSS</t>
  </si>
  <si>
    <t>EBITDA (Gross Profit - OpEx)</t>
  </si>
  <si>
    <t>EBITDA Margin %</t>
  </si>
  <si>
    <t>Tax (on positive EBITDA)</t>
  </si>
  <si>
    <t>NET INCOME</t>
  </si>
  <si>
    <t>Cumulative Net Income</t>
  </si>
  <si>
    <t>KEY METRICS</t>
  </si>
  <si>
    <t>Customer Acquisition Cost (CAC)</t>
  </si>
  <si>
    <t>Avg Revenue Per Charm Sold</t>
  </si>
  <si>
    <t>All-in Cost Per Charm (COGS+OpEx)</t>
  </si>
  <si>
    <t>Infra Cost Per Active Charm (Monthly)</t>
  </si>
  <si>
    <t>Total Storage (GB — Azure + R2 combined)</t>
  </si>
  <si>
    <t>Monthly Profitable? (EBITDA &gt; 0)</t>
  </si>
  <si>
    <t>Returned Charms (units)</t>
  </si>
  <si>
    <t xml:space="preserve">  Pre-Claim Returns (restockable)</t>
  </si>
  <si>
    <t xml:space="preserve">  Post-Claim Returns (dead stock)</t>
  </si>
  <si>
    <t>Replacement Charms Shipped (defects)</t>
  </si>
  <si>
    <t>RETURN &amp; REPLACEMENT COSTS</t>
  </si>
  <si>
    <t>Refund Amount (returned units x avg price)</t>
  </si>
  <si>
    <t>Return Shipping Cost</t>
  </si>
  <si>
    <t>Return Processing / Handling</t>
  </si>
  <si>
    <t>COGS Lost — Post-Claim Returns (dead stock)</t>
  </si>
  <si>
    <t>COGS Salvaged — Pre-Claim Returns (restocked)</t>
  </si>
  <si>
    <t>Replacement COGS (defect units x COGS)</t>
  </si>
  <si>
    <t>Replacement Shipping</t>
  </si>
  <si>
    <t>TOTAL RETURNS &amp; REPLACEMENT IMPACT</t>
  </si>
  <si>
    <t>ADJUSTED P&amp;L (After Returns &amp; Replacements)</t>
  </si>
  <si>
    <t>Net Revenue (gross - refunds)</t>
  </si>
  <si>
    <t>Adjusted COGS (incl. dead stock + replacements)</t>
  </si>
  <si>
    <t>Return &amp; Replacement Overhead (shipping + processing)</t>
  </si>
  <si>
    <t>Adjusted Gross Profit</t>
  </si>
  <si>
    <t>Adjusted Gross Margin %</t>
  </si>
  <si>
    <t>Adjusted EBITDA</t>
  </si>
  <si>
    <t>Adjusted EBITDA Margin %</t>
  </si>
  <si>
    <t>Adjusted Net Income</t>
  </si>
  <si>
    <t>Net Active Charms (adjusted for returns)</t>
  </si>
  <si>
    <t>Margin Erosion from Returns (% of gross revenue)</t>
  </si>
  <si>
    <t>MemoryCharm — Annual Summary</t>
  </si>
  <si>
    <t>Year 1 (M1-12)</t>
  </si>
  <si>
    <t>Year 2 (M13-24)</t>
  </si>
  <si>
    <t>Total (24 Mo)</t>
  </si>
  <si>
    <t>Total Charms Sold</t>
  </si>
  <si>
    <t>Cumulative Charms (End)</t>
  </si>
  <si>
    <t>Active Charms (End)</t>
  </si>
  <si>
    <t>Total Storage (GB, end of period)</t>
  </si>
  <si>
    <t>Total Revenue</t>
  </si>
  <si>
    <t xml:space="preserve">  Charm Revenue</t>
  </si>
  <si>
    <t xml:space="preserve">  Upsell Revenue</t>
  </si>
  <si>
    <t>Total COGS</t>
  </si>
  <si>
    <t>Gross Profit</t>
  </si>
  <si>
    <t>Total Operating Expenses</t>
  </si>
  <si>
    <t xml:space="preserve">  Infrastructure</t>
  </si>
  <si>
    <t xml:space="preserve">    Azure Blob Storage</t>
  </si>
  <si>
    <t xml:space="preserve">    Cloudflare R2</t>
  </si>
  <si>
    <t xml:space="preserve">    Azure Table Storage</t>
  </si>
  <si>
    <t xml:space="preserve">    Azure Functions</t>
  </si>
  <si>
    <t xml:space="preserve">    Other Platform</t>
  </si>
  <si>
    <t xml:space="preserve">  Marketing</t>
  </si>
  <si>
    <t xml:space="preserve">  Shipping</t>
  </si>
  <si>
    <t xml:space="preserve">  Payment Processing</t>
  </si>
  <si>
    <t xml:space="preserve">  Support + Legal</t>
  </si>
  <si>
    <t>EBITDA</t>
  </si>
  <si>
    <t>Tax</t>
  </si>
  <si>
    <t xml:space="preserve">  Returned Units</t>
  </si>
  <si>
    <t xml:space="preserve">  Replacement Units</t>
  </si>
  <si>
    <t xml:space="preserve">  Total Return &amp; Replacement Cost</t>
  </si>
  <si>
    <t xml:space="preserve">  Margin Erosion %</t>
  </si>
  <si>
    <t>ADJUSTED P&amp;L (After Returns)</t>
  </si>
  <si>
    <t xml:space="preserve">  Net Revenue</t>
  </si>
  <si>
    <t xml:space="preserve">  Adjusted COGS</t>
  </si>
  <si>
    <t xml:space="preserve">  Adjusted Gross Profit</t>
  </si>
  <si>
    <t xml:space="preserve">  Adjusted Gross Margin %</t>
  </si>
  <si>
    <t xml:space="preserve">  Adjusted EBITDA</t>
  </si>
  <si>
    <t xml:space="preserve">  Adjusted EBITDA Margin %</t>
  </si>
  <si>
    <t xml:space="preserve">  ADJUSTED NET INCOME</t>
  </si>
  <si>
    <t>Scenario Playbook</t>
  </si>
  <si>
    <t>Copy the workbook, change Assumptions, compare results</t>
  </si>
  <si>
    <t>Assumption</t>
  </si>
  <si>
    <t>Conservative</t>
  </si>
  <si>
    <t>Base Case</t>
  </si>
  <si>
    <t>Optimistic</t>
  </si>
  <si>
    <t>10-Year Charm Price</t>
  </si>
  <si>
    <t>$24.99</t>
  </si>
  <si>
    <t>$29.99</t>
  </si>
  <si>
    <t>$34.99</t>
  </si>
  <si>
    <t>15-Year Charm Price</t>
  </si>
  <si>
    <t>$39.99</t>
  </si>
  <si>
    <t>$44.99</t>
  </si>
  <si>
    <t>$54.99</t>
  </si>
  <si>
    <t>Perpetual Charm Price</t>
  </si>
  <si>
    <t>$59.99</t>
  </si>
  <si>
    <t>$69.99</t>
  </si>
  <si>
    <t>$89.99</t>
  </si>
  <si>
    <t>Starting 10-Year Units/Mo</t>
  </si>
  <si>
    <t>50</t>
  </si>
  <si>
    <t>100</t>
  </si>
  <si>
    <t>200</t>
  </si>
  <si>
    <t>Starting 15-Year Units/Mo</t>
  </si>
  <si>
    <t>20</t>
  </si>
  <si>
    <t>40</t>
  </si>
  <si>
    <t>80</t>
  </si>
  <si>
    <t>Starting Perpetual Units/Mo</t>
  </si>
  <si>
    <t>5</t>
  </si>
  <si>
    <t>15</t>
  </si>
  <si>
    <t>30</t>
  </si>
  <si>
    <t>MoM Growth (10-Year)</t>
  </si>
  <si>
    <t>5%</t>
  </si>
  <si>
    <t>8%</t>
  </si>
  <si>
    <t>12%</t>
  </si>
  <si>
    <t>MoM Growth (15-Year)</t>
  </si>
  <si>
    <t>6%</t>
  </si>
  <si>
    <t>10%</t>
  </si>
  <si>
    <t>15%</t>
  </si>
  <si>
    <t>MoM Growth (Perpetual)</t>
  </si>
  <si>
    <t>18%</t>
  </si>
  <si>
    <t>COGS per Charm</t>
  </si>
  <si>
    <t>$10.00</t>
  </si>
  <si>
    <t>$8.50</t>
  </si>
  <si>
    <t>$7.00</t>
  </si>
  <si>
    <t>Avg Content Size (MB)</t>
  </si>
  <si>
    <t>35.9</t>
  </si>
  <si>
    <t>60</t>
  </si>
  <si>
    <t>Views/Charm/Mo (New Period)</t>
  </si>
  <si>
    <t>4</t>
  </si>
  <si>
    <t>8</t>
  </si>
  <si>
    <t>Views/Charm/Mo (Long-Tail)</t>
  </si>
  <si>
    <t>1</t>
  </si>
  <si>
    <t>2</t>
  </si>
  <si>
    <t>Video Mix %</t>
  </si>
  <si>
    <t>40%</t>
  </si>
  <si>
    <t>55%</t>
  </si>
  <si>
    <t>70%</t>
  </si>
  <si>
    <t>Marketing Budget (M1)</t>
  </si>
  <si>
    <t>$250</t>
  </si>
  <si>
    <t>$500</t>
  </si>
  <si>
    <t>$1,000</t>
  </si>
  <si>
    <t>Extend Memory Attach Rate</t>
  </si>
  <si>
    <t>1%</t>
  </si>
  <si>
    <t>2%</t>
  </si>
  <si>
    <t>4%</t>
  </si>
  <si>
    <t>Gift Wrap Attach Rate</t>
  </si>
  <si>
    <t>25%</t>
  </si>
  <si>
    <t>HOW TO USE:</t>
  </si>
  <si>
    <t>1. Base Case values match the Assumptions sheet defaults</t>
  </si>
  <si>
    <t>2. Go to Assumptions sheet and change the yellow cells</t>
  </si>
  <si>
    <t>3. Projections and Annual Summary auto-update</t>
  </si>
  <si>
    <t>4. File &gt; Save As to create copies for each scenario</t>
  </si>
  <si>
    <t>5. Key infrastructure levers: content size, views/charm, video mix %</t>
  </si>
  <si>
    <t>Per-Charm Hosting Cost Breakdown (No Free Tier)</t>
  </si>
  <si>
    <t>What it costs to host ONE charm — raw service rates, no free tier credits applied</t>
  </si>
  <si>
    <t>All values linked to Assumptions sheet — change inputs there to update these costs</t>
  </si>
  <si>
    <t>SINGLE CHARM PROFILE</t>
  </si>
  <si>
    <t>Metric</t>
  </si>
  <si>
    <t>Value</t>
  </si>
  <si>
    <t>Content size (weighted avg)</t>
  </si>
  <si>
    <t>From Assumptions: video/image/audio weighted mix</t>
  </si>
  <si>
    <t>Content size in GB</t>
  </si>
  <si>
    <t>GB</t>
  </si>
  <si>
    <t>Views per month (first 3 months — novelty)</t>
  </si>
  <si>
    <t>views/month</t>
  </si>
  <si>
    <t>Views per month (after 3 months — long-tail)</t>
  </si>
  <si>
    <t>Blended avg views/month (assuming mostly long-tail)</t>
  </si>
  <si>
    <t>Year-weighted: 3 months novelty + 9 months long-tail</t>
  </si>
  <si>
    <t>API calls per view (GetCharm + glyph if needed)</t>
  </si>
  <si>
    <t>1 GetCharm call per view + glyph verify probability</t>
  </si>
  <si>
    <t>Table reads per view</t>
  </si>
  <si>
    <t>Table writes per view (glyph attempts + rate-limit log)</t>
  </si>
  <si>
    <t>2 writes per glyph verify + 10% sampled request logging</t>
  </si>
  <si>
    <t>ONE-TIME SETUP COSTS (per charm — claim through finalize)</t>
  </si>
  <si>
    <t>Service / Operation</t>
  </si>
  <si>
    <t>Calculation</t>
  </si>
  <si>
    <t>Azure Functions: Lifecycle API Calls</t>
  </si>
  <si>
    <t>5 calls x exec + compute cost</t>
  </si>
  <si>
    <t>claim + configure + get-upload-urls + finalize + preview</t>
  </si>
  <si>
    <t>Cloudflare R2: Upload Writes (Class A)</t>
  </si>
  <si>
    <t>2 PUT ops x (1+re-upload rate)</t>
  </si>
  <si>
    <t>PUT blob + list verify; re-uploads during 14-day settling</t>
  </si>
  <si>
    <t>Azure Blob: Backup Upload Writes</t>
  </si>
  <si>
    <t>2 ops x (1+re-upload rate) / 10K</t>
  </si>
  <si>
    <t>Azure Table: Setup Entity Writes</t>
  </si>
  <si>
    <t>8 writes / 10K x txn rate</t>
  </si>
  <si>
    <t>charm + user-charm + profile + request log entities</t>
  </si>
  <si>
    <t>Azure Table: Entity Storage (first month)</t>
  </si>
  <si>
    <t>~2 KB entity / GB x rate</t>
  </si>
  <si>
    <t>TOTAL ONE-TIME SETUP COST</t>
  </si>
  <si>
    <t>MONTHLY ONGOING COSTS (per charm — storage + playback)</t>
  </si>
  <si>
    <t>Assumes blended avg views/month from row 11</t>
  </si>
  <si>
    <t>$/Month</t>
  </si>
  <si>
    <t>CLOUDFLARE R2</t>
  </si>
  <si>
    <t xml:space="preserve">  R2: Storage (content GB x rate)</t>
  </si>
  <si>
    <t>GB x $0.015/GB/mo</t>
  </si>
  <si>
    <t xml:space="preserve">  R2: Class B Reads — playback downloads</t>
  </si>
  <si>
    <t>views/mo / 1M x rate</t>
  </si>
  <si>
    <t>Every view = 1 GET from R2</t>
  </si>
  <si>
    <t xml:space="preserve">  R2: Egress / Bandwidth</t>
  </si>
  <si>
    <t>$0.00 — zero egress</t>
  </si>
  <si>
    <t>Cloudflare's key advantage: zero bandwidth cost</t>
  </si>
  <si>
    <t xml:space="preserve">  R2 SUBTOTAL</t>
  </si>
  <si>
    <t>AZURE BLOB STORAGE — COOL TIER</t>
  </si>
  <si>
    <t xml:space="preserve">  Azure Blob: Storage (backup mirror — same GB)</t>
  </si>
  <si>
    <t>GB x $0.01/GB/mo</t>
  </si>
  <si>
    <t xml:space="preserve">  Azure Blob: Read Ops (fallback — 2% of views)</t>
  </si>
  <si>
    <t>2% fallback reads</t>
  </si>
  <si>
    <t>Only when R2 is unavailable; client falls back to Azure</t>
  </si>
  <si>
    <t xml:space="preserve">  Azure Blob: Data Retrieval (cool tier penalty)</t>
  </si>
  <si>
    <t>2% fallback x GB x retrieval rate</t>
  </si>
  <si>
    <t>Cool tier charges per-GB on read; hot tier does not</t>
  </si>
  <si>
    <t xml:space="preserve">  Azure Blob: Egress (fallback downloads)</t>
  </si>
  <si>
    <t>2% fallback x GB x egress rate</t>
  </si>
  <si>
    <t>$0.087/GB — only on Azure-direct downloads</t>
  </si>
  <si>
    <t xml:space="preserve">  Azure Blob SUBTOTAL</t>
  </si>
  <si>
    <t>AZURE TABLE STORAGE</t>
  </si>
  <si>
    <t xml:space="preserve">  Table: Entity Storage (ongoing)</t>
  </si>
  <si>
    <t>~2 KB entity set / month</t>
  </si>
  <si>
    <t xml:space="preserve">  Table: Read Transactions (views x reads/view)</t>
  </si>
  <si>
    <t>views x 3 reads / 10K x rate</t>
  </si>
  <si>
    <t xml:space="preserve">  Table: Write Transactions (glyph + logging)</t>
  </si>
  <si>
    <t>views x writes/view / 10K x rate</t>
  </si>
  <si>
    <t xml:space="preserve">  Azure Table SUBTOTAL</t>
  </si>
  <si>
    <t>AZURE FUNCTIONS (Compute)</t>
  </si>
  <si>
    <t xml:space="preserve">  Functions: Execution Cost (view + glyph calls)</t>
  </si>
  <si>
    <t>calls / 1M x $0.20</t>
  </si>
  <si>
    <t xml:space="preserve">  Functions: Compute GB-seconds</t>
  </si>
  <si>
    <t>calls x duration x memory x rate</t>
  </si>
  <si>
    <t>~200ms avg x 128MB per invocation</t>
  </si>
  <si>
    <t xml:space="preserve">  Azure Functions SUBTOTAL</t>
  </si>
  <si>
    <t>ENTRA CIAM (Authentication)</t>
  </si>
  <si>
    <t xml:space="preserve">  CIAM: Per-MAU cost (1 charm ≈ 0.3 MAU avg)</t>
  </si>
  <si>
    <t>0.3 MAU x $0.0025/MAU</t>
  </si>
  <si>
    <t>Not every charm = unique monthly active user</t>
  </si>
  <si>
    <t xml:space="preserve">  CIAM SUBTOTAL</t>
  </si>
  <si>
    <t>TOTAL MONTHLY HOSTING COST (per charm)</t>
  </si>
  <si>
    <t>ANNUAL &amp; LIFETIME COST SUMMARY (per charm)</t>
  </si>
  <si>
    <t>Time Horizon</t>
  </si>
  <si>
    <t>Hosting Cost</t>
  </si>
  <si>
    <t>Incl. Setup</t>
  </si>
  <si>
    <t>Annual Hosting Cost (monthly x 12)</t>
  </si>
  <si>
    <t>Pure recurring hosting — no COGS, no shipping</t>
  </si>
  <si>
    <t>Year 1 Total (setup + 12 months hosting)</t>
  </si>
  <si>
    <t>First year is highest — includes one-time setup</t>
  </si>
  <si>
    <t>LIFETIME HOSTING BY TIER</t>
  </si>
  <si>
    <t>Hosting Only</t>
  </si>
  <si>
    <t>As % of Retail Price</t>
  </si>
  <si>
    <t>Hosting Profit/Loss</t>
  </si>
  <si>
    <t>10-Year Charm (120 months hosting)</t>
  </si>
  <si>
    <t>15-Year Charm (180 months hosting)</t>
  </si>
  <si>
    <t>Retail / Perpetual Charm (30-year est = 360 months)</t>
  </si>
  <si>
    <t>MONTHLY COST — SERVICE BREAKDOWN (%)</t>
  </si>
  <si>
    <t>Service</t>
  </si>
  <si>
    <t>% of Total</t>
  </si>
  <si>
    <t>Key Driver</t>
  </si>
  <si>
    <t>Cloudflare R2</t>
  </si>
  <si>
    <t>Storage volume (GB per charm)</t>
  </si>
  <si>
    <t>Azure Blob (Cool Backup)</t>
  </si>
  <si>
    <t>Storage + fallback reads</t>
  </si>
  <si>
    <t>Transaction volume (views x ops)</t>
  </si>
  <si>
    <t>Azure Functions</t>
  </si>
  <si>
    <t>API call volume</t>
  </si>
  <si>
    <t>Entra CIAM</t>
  </si>
  <si>
    <t>Monthly active users</t>
  </si>
  <si>
    <t>TOTAL</t>
  </si>
  <si>
    <t>CONTENT SIZE SENSITIVITY — Monthly Cost at Different Sizes</t>
  </si>
  <si>
    <t>Holding view rate constant, varying content size</t>
  </si>
  <si>
    <t>Content Size</t>
  </si>
  <si>
    <t>R2 Storage</t>
  </si>
  <si>
    <t>Azure Blob</t>
  </si>
  <si>
    <t>Functions+Table</t>
  </si>
  <si>
    <t>Total Monthly</t>
  </si>
  <si>
    <t>Annual (x12)</t>
  </si>
  <si>
    <t>6 MB (audio only)</t>
  </si>
  <si>
    <t>15 MB (image gallery)</t>
  </si>
  <si>
    <t>35.85 MB (weighted avg — base case)</t>
  </si>
  <si>
    <t>55 MB (avg video — iPhone 1080p mix)</t>
  </si>
  <si>
    <t>100 MB (4K / H.264 heavy)</t>
  </si>
  <si>
    <t>150 MB (max — 150 MB limit)</t>
  </si>
  <si>
    <t>Revenue Recognition — Cash vs Hybrid vs Straight-Line</t>
  </si>
  <si>
    <t>Compares when revenue is recognized under each method + deferred revenue liability</t>
  </si>
  <si>
    <t>PER-CHARM REVENUE SPLIT — HYBRID METHOD</t>
  </si>
  <si>
    <t>10-Year</t>
  </si>
  <si>
    <t>15-Year</t>
  </si>
  <si>
    <t>Perpetual</t>
  </si>
  <si>
    <t>Lifetime months:</t>
  </si>
  <si>
    <t>Sale Price</t>
  </si>
  <si>
    <t>Upfront Costs (COGS + ship + processing + setup)</t>
  </si>
  <si>
    <t>Hybrid: Revenue Recognized at Sale</t>
  </si>
  <si>
    <t>Covers COGS + fulfillment + payment fee + setup hosting</t>
  </si>
  <si>
    <t>Hybrid: Deferred Revenue (to escrow)</t>
  </si>
  <si>
    <t>Goes to escrow / deferred revenue liability on balance sheet</t>
  </si>
  <si>
    <t>Hybrid: Monthly Recognition from Deferred</t>
  </si>
  <si>
    <t>Deferred portion ÷ lifetime months</t>
  </si>
  <si>
    <t>Straight-Line: Monthly Recognition (all deferred)</t>
  </si>
  <si>
    <t>Full price ÷ lifetime months — most conservative</t>
  </si>
  <si>
    <t>CASH COLLECTED (Point of Sale)</t>
  </si>
  <si>
    <t>10-Year Charms — Cumulative Sold</t>
  </si>
  <si>
    <t>15-Year Charms — Cumulative Sold</t>
  </si>
  <si>
    <t>Perpetual Charms — Cumulative Sold</t>
  </si>
  <si>
    <t>Charm Cash Collected (month)</t>
  </si>
  <si>
    <t>Upsell Cash Collected (recognized immediately)</t>
  </si>
  <si>
    <t>TOTAL CASH COLLECTED</t>
  </si>
  <si>
    <t>HYBRID METHOD — Recognized Revenue</t>
  </si>
  <si>
    <t>COGS portion at sale + deferred over lifetime</t>
  </si>
  <si>
    <t xml:space="preserve">  Upfront Recognition (new sales x upfront portion)</t>
  </si>
  <si>
    <t xml:space="preserve">  Deferred Recognition (cumulative charms x monthly rate)</t>
  </si>
  <si>
    <t xml:space="preserve">  Upsell Revenue (immediate recognition)</t>
  </si>
  <si>
    <t>HYBRID RECOGNIZED REVENUE</t>
  </si>
  <si>
    <t>STRAIGHT-LINE METHOD — Recognized Revenue</t>
  </si>
  <si>
    <t>Full price spread evenly over charm lifetime</t>
  </si>
  <si>
    <t xml:space="preserve">  Charm Revenue (cumulative x monthly rate)</t>
  </si>
  <si>
    <t>STRAIGHT-LINE RECOGNIZED REVENUE</t>
  </si>
  <si>
    <t>SIDE-BY-SIDE COMPARISON</t>
  </si>
  <si>
    <t>Cash Collected</t>
  </si>
  <si>
    <t>Hybrid Recognized</t>
  </si>
  <si>
    <t>Straight-Line Recognized</t>
  </si>
  <si>
    <t>Cash vs Hybrid Gap (unrecognized cash)</t>
  </si>
  <si>
    <t>Cash vs Straight-Line Gap (unrecognized cash)</t>
  </si>
  <si>
    <t>DEFERRED REVENUE LIABILITY (Balance Sheet)</t>
  </si>
  <si>
    <t>This is your escrow — cash received but not yet earned</t>
  </si>
  <si>
    <t>HYBRID — Deferred Revenue Balance</t>
  </si>
  <si>
    <t>Opening + new deferrals - monthly recognition = closing</t>
  </si>
  <si>
    <t xml:space="preserve">  + New Deferrals (charm sales x deferred portion)</t>
  </si>
  <si>
    <t xml:space="preserve">  - Monthly Recognition (from deferred pool)</t>
  </si>
  <si>
    <t xml:space="preserve">  - Return Reversals (refunded charms x deferred portion)</t>
  </si>
  <si>
    <t xml:space="preserve">  = HYBRID Deferred Revenue Balance</t>
  </si>
  <si>
    <t>STRAIGHT-LINE — Deferred Revenue Balance</t>
  </si>
  <si>
    <t xml:space="preserve">  + New Deferrals (full charm price)</t>
  </si>
  <si>
    <t xml:space="preserve">  - Monthly Recognition</t>
  </si>
  <si>
    <t xml:space="preserve">  - Return Reversals (refunded charms x full price)</t>
  </si>
  <si>
    <t xml:space="preserve">  = STRAIGHT-LINE Deferred Revenue Balance</t>
  </si>
  <si>
    <t>EBITDA UNDER EACH RECOGNITION METHOD (incl. returns)</t>
  </si>
  <si>
    <t>Uses adjusted costs (COGS + returns + OpEx)</t>
  </si>
  <si>
    <t>Adjusted Total Costs (COGS + returns + OpEx)</t>
  </si>
  <si>
    <t>Cash Basis EBITDA (after returns)</t>
  </si>
  <si>
    <t>Hybrid EBITDA (after returns)</t>
  </si>
  <si>
    <t>Straight-Line EBITDA (after returns)</t>
  </si>
  <si>
    <t>ESCROW HEALTH — Can deferred revenue cover future hosting?</t>
  </si>
  <si>
    <t>Est. Future Hosting Obligation (net active charms x monthly cost x lifetime)</t>
  </si>
  <si>
    <t>Hybrid Deferred Revenue Balance (escrow pool)</t>
  </si>
  <si>
    <t>COVERAGE RATIO (deferred balance / hosting obligation)</t>
  </si>
  <si>
    <t>&gt; 100% = escrow covers all future hosting. &lt; 100% = shortfall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</si>
</sst>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"/>
    <numFmt numFmtId="165" formatCode="0.0%"/>
    <numFmt numFmtId="166" formatCode="\$#,##0.0000"/>
    <numFmt numFmtId="167" formatCode="\$#,##0.000000"/>
    <numFmt numFmtId="168" formatCode="\$#,##0"/>
    <numFmt numFmtId="169" formatCode="#,##0.0"/>
    <numFmt numFmtId="170" formatCode="#,##0.000000"/>
    <numFmt numFmtId="174" formatCode="\$#,##0.00000000"/>
  </numFmts>
  <fonts count="10" x14ac:knownFonts="1">
    <font>
      <sz val="11"/>
      <color theme="1"/>
      <name val="Calibri"/>
      <family val="2"/>
      <scheme val="minor"/>
    </font>
    <font>
      <b/>
      <sz val="16"/>
      <color rgb="FF1B2A4A"/>
      <name val="Calibri"/>
    </font>
    <font>
      <i/>
      <sz val="10"/>
      <color rgb="FF666666"/>
      <name val="Calibri"/>
    </font>
    <font>
      <b/>
      <sz val="13"/>
      <color rgb="FF1B2A4A"/>
      <name val="Calibri"/>
    </font>
    <font>
      <b/>
      <sz val="12"/>
      <color rgb="FFFFFFFF"/>
      <name val="Calibri"/>
    </font>
    <font>
      <sz val="11"/>
      <name val="Calibri"/>
    </font>
    <font>
      <b/>
      <sz val="11"/>
      <name val="Calibri"/>
    </font>
    <font>
      <i/>
      <sz val="9"/>
      <color rgb="FF888888"/>
      <name val="Calibri"/>
    </font>
    <font>
      <b/>
      <sz val="12"/>
      <color rgb="FF1B2A4A"/>
      <name val="Calibri"/>
    </font>
    <font>
      <b/>
      <sz val="11"/>
      <color rgb="FF2E4057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1" xfId="0" applyFont="1" applyBorder="1"/>
    <xf numFmtId="164" fontId="6" fillId="3" borderId="1" xfId="0" applyNumberFormat="1" applyFont="1" applyFill="1" applyBorder="1"/>
    <xf numFmtId="164" fontId="6" fillId="0" borderId="1" xfId="0" applyNumberFormat="1" applyFont="1" applyBorder="1"/>
    <xf numFmtId="3" fontId="6" fillId="3" borderId="1" xfId="0" applyNumberFormat="1" applyFont="1" applyFill="1" applyBorder="1"/>
    <xf numFmtId="165" fontId="6" fillId="3" borderId="1" xfId="0" applyNumberFormat="1" applyFont="1" applyFill="1" applyBorder="1"/>
    <xf numFmtId="0" fontId="7" fillId="0" borderId="0" xfId="0" applyFont="1"/>
    <xf numFmtId="4" fontId="5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4" fontId="6" fillId="0" borderId="1" xfId="0" applyNumberFormat="1" applyFont="1" applyBorder="1"/>
    <xf numFmtId="166" fontId="6" fillId="3" borderId="1" xfId="0" applyNumberFormat="1" applyFont="1" applyFill="1" applyBorder="1"/>
    <xf numFmtId="167" fontId="6" fillId="3" borderId="1" xfId="0" applyNumberFormat="1" applyFont="1" applyFill="1" applyBorder="1"/>
    <xf numFmtId="168" fontId="6" fillId="3" borderId="1" xfId="0" applyNumberFormat="1" applyFont="1" applyFill="1" applyBorder="1"/>
    <xf numFmtId="0" fontId="4" fillId="2" borderId="0" xfId="0" applyFont="1" applyFill="1"/>
    <xf numFmtId="3" fontId="5" fillId="0" borderId="1" xfId="0" applyNumberFormat="1" applyFont="1" applyBorder="1"/>
    <xf numFmtId="0" fontId="6" fillId="4" borderId="1" xfId="0" applyFont="1" applyFill="1" applyBorder="1"/>
    <xf numFmtId="3" fontId="6" fillId="4" borderId="1" xfId="0" applyNumberFormat="1" applyFont="1" applyFill="1" applyBorder="1"/>
    <xf numFmtId="0" fontId="7" fillId="0" borderId="1" xfId="0" applyFont="1" applyBorder="1"/>
    <xf numFmtId="169" fontId="6" fillId="0" borderId="1" xfId="0" applyNumberFormat="1" applyFont="1" applyBorder="1"/>
    <xf numFmtId="169" fontId="5" fillId="0" borderId="1" xfId="0" applyNumberFormat="1" applyFont="1" applyBorder="1"/>
    <xf numFmtId="3" fontId="6" fillId="0" borderId="1" xfId="0" applyNumberFormat="1" applyFont="1" applyBorder="1"/>
    <xf numFmtId="164" fontId="5" fillId="0" borderId="1" xfId="0" applyNumberFormat="1" applyFont="1" applyBorder="1"/>
    <xf numFmtId="0" fontId="6" fillId="5" borderId="1" xfId="0" applyFont="1" applyFill="1" applyBorder="1"/>
    <xf numFmtId="164" fontId="6" fillId="5" borderId="1" xfId="0" applyNumberFormat="1" applyFont="1" applyFill="1" applyBorder="1"/>
    <xf numFmtId="168" fontId="5" fillId="0" borderId="1" xfId="0" applyNumberFormat="1" applyFont="1" applyBorder="1"/>
    <xf numFmtId="0" fontId="6" fillId="6" borderId="1" xfId="0" applyFont="1" applyFill="1" applyBorder="1"/>
    <xf numFmtId="168" fontId="6" fillId="6" borderId="1" xfId="0" applyNumberFormat="1" applyFont="1" applyFill="1" applyBorder="1"/>
    <xf numFmtId="168" fontId="6" fillId="5" borderId="1" xfId="0" applyNumberFormat="1" applyFont="1" applyFill="1" applyBorder="1"/>
    <xf numFmtId="0" fontId="8" fillId="6" borderId="1" xfId="0" applyFont="1" applyFill="1" applyBorder="1"/>
    <xf numFmtId="168" fontId="8" fillId="6" borderId="1" xfId="0" applyNumberFormat="1" applyFont="1" applyFill="1" applyBorder="1"/>
    <xf numFmtId="168" fontId="6" fillId="0" borderId="1" xfId="0" applyNumberFormat="1" applyFont="1" applyBorder="1"/>
    <xf numFmtId="166" fontId="5" fillId="0" borderId="1" xfId="0" applyNumberFormat="1" applyFont="1" applyBorder="1"/>
    <xf numFmtId="0" fontId="6" fillId="0" borderId="1" xfId="0" applyFont="1" applyBorder="1" applyAlignment="1">
      <alignment horizontal="center"/>
    </xf>
    <xf numFmtId="165" fontId="5" fillId="0" borderId="1" xfId="0" applyNumberFormat="1" applyFont="1" applyBorder="1"/>
    <xf numFmtId="0" fontId="5" fillId="5" borderId="1" xfId="0" applyFont="1" applyFill="1" applyBorder="1"/>
    <xf numFmtId="168" fontId="5" fillId="5" borderId="1" xfId="0" applyNumberFormat="1" applyFont="1" applyFill="1" applyBorder="1"/>
    <xf numFmtId="0" fontId="5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5" fillId="0" borderId="0" xfId="0" applyFont="1"/>
    <xf numFmtId="170" fontId="5" fillId="0" borderId="1" xfId="0" applyNumberFormat="1" applyFont="1" applyBorder="1"/>
    <xf numFmtId="167" fontId="5" fillId="0" borderId="1" xfId="0" applyNumberFormat="1" applyFont="1" applyBorder="1"/>
    <xf numFmtId="166" fontId="6" fillId="5" borderId="1" xfId="0" applyNumberFormat="1" applyFont="1" applyFill="1" applyBorder="1"/>
    <xf numFmtId="0" fontId="0" fillId="5" borderId="0" xfId="0" applyFill="1"/>
    <xf numFmtId="0" fontId="9" fillId="4" borderId="1" xfId="0" applyFont="1" applyFill="1" applyBorder="1"/>
    <xf numFmtId="0" fontId="0" fillId="4" borderId="0" xfId="0" applyFill="1"/>
    <xf numFmtId="167" fontId="6" fillId="0" borderId="1" xfId="0" applyNumberFormat="1" applyFont="1" applyBorder="1"/>
    <xf numFmtId="0" fontId="3" fillId="5" borderId="1" xfId="0" applyFont="1" applyFill="1" applyBorder="1"/>
    <xf numFmtId="166" fontId="3" fillId="5" borderId="1" xfId="0" applyNumberFormat="1" applyFont="1" applyFill="1" applyBorder="1"/>
    <xf numFmtId="166" fontId="6" fillId="0" borderId="1" xfId="0" applyNumberFormat="1" applyFont="1" applyBorder="1"/>
    <xf numFmtId="165" fontId="6" fillId="5" borderId="1" xfId="0" applyNumberFormat="1" applyFont="1" applyFill="1" applyBorder="1"/>
    <xf numFmtId="167" fontId="5" fillId="6" borderId="1" xfId="0" applyNumberFormat="1" applyFont="1" applyFill="1" applyBorder="1"/>
    <xf numFmtId="166" fontId="6" fillId="6" borderId="1" xfId="0" applyNumberFormat="1" applyFont="1" applyFill="1" applyBorder="1"/>
    <xf numFmtId="0" fontId="6" fillId="3" borderId="1" xfId="0" applyFont="1" applyFill="1" applyBorder="1"/>
    <xf numFmtId="0" fontId="6" fillId="7" borderId="1" xfId="0" applyFont="1" applyFill="1" applyBorder="1"/>
    <xf numFmtId="166" fontId="6" fillId="7" borderId="1" xfId="0" applyNumberFormat="1" applyFont="1" applyFill="1" applyBorder="1"/>
    <xf numFmtId="168" fontId="6" fillId="7" borderId="1" xfId="0" applyNumberFormat="1" applyFont="1" applyFill="1" applyBorder="1"/>
    <xf numFmtId="0" fontId="0" fillId="3" borderId="0" xfId="0" applyFill="1"/>
    <xf numFmtId="0" fontId="7" fillId="3" borderId="0" xfId="0" applyFont="1" applyFill="1"/>
    <xf numFmtId="0" fontId="0" fillId="7" borderId="0" xfId="0" applyFill="1"/>
    <xf numFmtId="165" fontId="7" fillId="0" borderId="1" xfId="0" applyNumberFormat="1" applyFont="1" applyBorder="1"/>
    <xf numFmtId="167" fontId="6" fillId="5" borderId="1" xfId="0" applyNumberFormat="1" applyFont="1" applyFill="1" applyBorder="1"/>
    <xf numFmtId="174" fontId="5" fillId="0" borderId="1" xfId="0" applyNumberFormat="1" applyFont="1" applyBorder="1"/>
    <xf numFmtId="17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1:F103"/>
  <sheetViews>
    <sheetView tabSelected="1" workbookViewId="0">
      <selection activeCell="F19" sqref="F19"/>
    </sheetView>
  </sheetViews>
  <sheetFormatPr defaultRowHeight="14.4" x14ac:dyDescent="0.55000000000000004"/>
  <cols>
    <col min="1" max="1" width="3" customWidth="1"/>
    <col min="2" max="2" width="48" customWidth="1"/>
    <col min="3" max="5" width="18" customWidth="1"/>
    <col min="6" max="6" width="40" customWidth="1"/>
  </cols>
  <sheetData>
    <row r="1" spans="2:5" ht="20.399999999999999" x14ac:dyDescent="0.75">
      <c r="B1" s="1" t="s">
        <v>0</v>
      </c>
    </row>
    <row r="2" spans="2:5" x14ac:dyDescent="0.55000000000000004">
      <c r="B2" s="2" t="s">
        <v>1</v>
      </c>
    </row>
    <row r="4" spans="2:5" ht="16.8" x14ac:dyDescent="0.65">
      <c r="B4" s="3" t="s">
        <v>2</v>
      </c>
    </row>
    <row r="5" spans="2:5" ht="15.6" x14ac:dyDescent="0.6">
      <c r="B5" s="4" t="s">
        <v>3</v>
      </c>
      <c r="C5" s="4" t="s">
        <v>4</v>
      </c>
      <c r="D5" s="4" t="s">
        <v>5</v>
      </c>
      <c r="E5" s="4" t="s">
        <v>6</v>
      </c>
    </row>
    <row r="6" spans="2:5" x14ac:dyDescent="0.55000000000000004">
      <c r="B6" s="5" t="s">
        <v>7</v>
      </c>
      <c r="C6" s="6">
        <v>29.99</v>
      </c>
      <c r="D6" s="6">
        <v>8.5</v>
      </c>
      <c r="E6" s="7">
        <f>C6-D6</f>
        <v>21.49</v>
      </c>
    </row>
    <row r="7" spans="2:5" x14ac:dyDescent="0.55000000000000004">
      <c r="B7" s="5" t="s">
        <v>8</v>
      </c>
      <c r="C7" s="6">
        <v>44.99</v>
      </c>
      <c r="D7" s="6">
        <v>8.5</v>
      </c>
      <c r="E7" s="7">
        <f>C7-D7</f>
        <v>36.49</v>
      </c>
    </row>
    <row r="8" spans="2:5" x14ac:dyDescent="0.55000000000000004">
      <c r="B8" s="5" t="s">
        <v>9</v>
      </c>
      <c r="C8" s="6">
        <v>69.989999999999995</v>
      </c>
      <c r="D8" s="6">
        <v>9</v>
      </c>
      <c r="E8" s="7">
        <f>C8-D8</f>
        <v>60.989999999999995</v>
      </c>
    </row>
    <row r="10" spans="2:5" ht="16.8" x14ac:dyDescent="0.65">
      <c r="B10" s="3" t="s">
        <v>10</v>
      </c>
    </row>
    <row r="11" spans="2:5" ht="15.6" x14ac:dyDescent="0.6">
      <c r="B11" s="4" t="s">
        <v>11</v>
      </c>
      <c r="C11" s="4" t="s">
        <v>12</v>
      </c>
      <c r="D11" s="4" t="s">
        <v>13</v>
      </c>
      <c r="E11" s="4" t="s">
        <v>14</v>
      </c>
    </row>
    <row r="12" spans="2:5" x14ac:dyDescent="0.55000000000000004">
      <c r="B12" s="5" t="s">
        <v>15</v>
      </c>
      <c r="C12" s="6">
        <v>14.99</v>
      </c>
      <c r="D12" s="6">
        <v>1</v>
      </c>
      <c r="E12" s="7">
        <f>C12-D12</f>
        <v>13.99</v>
      </c>
    </row>
    <row r="13" spans="2:5" x14ac:dyDescent="0.55000000000000004">
      <c r="B13" s="5" t="s">
        <v>16</v>
      </c>
      <c r="C13" s="6">
        <v>19.989999999999998</v>
      </c>
      <c r="D13" s="6">
        <v>0.5</v>
      </c>
      <c r="E13" s="7">
        <f>C13-D13</f>
        <v>19.489999999999998</v>
      </c>
    </row>
    <row r="14" spans="2:5" x14ac:dyDescent="0.55000000000000004">
      <c r="B14" s="5" t="s">
        <v>17</v>
      </c>
      <c r="C14" s="6">
        <v>4.99</v>
      </c>
      <c r="D14" s="6">
        <v>1.5</v>
      </c>
      <c r="E14" s="7">
        <f>C14-D14</f>
        <v>3.49</v>
      </c>
    </row>
    <row r="16" spans="2:5" ht="16.8" x14ac:dyDescent="0.65">
      <c r="B16" s="3" t="s">
        <v>18</v>
      </c>
    </row>
    <row r="17" spans="2:6" ht="15.6" x14ac:dyDescent="0.6">
      <c r="B17" s="4" t="s">
        <v>19</v>
      </c>
      <c r="C17" s="4" t="s">
        <v>20</v>
      </c>
      <c r="D17" s="4" t="s">
        <v>21</v>
      </c>
    </row>
    <row r="18" spans="2:6" x14ac:dyDescent="0.55000000000000004">
      <c r="B18" s="5" t="s">
        <v>22</v>
      </c>
      <c r="C18" s="8">
        <v>100</v>
      </c>
      <c r="D18" s="9">
        <v>0.08</v>
      </c>
    </row>
    <row r="19" spans="2:6" x14ac:dyDescent="0.55000000000000004">
      <c r="B19" s="5" t="s">
        <v>23</v>
      </c>
      <c r="C19" s="8">
        <v>40</v>
      </c>
      <c r="D19" s="9">
        <v>0.1</v>
      </c>
    </row>
    <row r="20" spans="2:6" x14ac:dyDescent="0.55000000000000004">
      <c r="B20" s="5" t="s">
        <v>24</v>
      </c>
      <c r="C20" s="8">
        <v>15</v>
      </c>
      <c r="D20" s="9">
        <v>0.12</v>
      </c>
    </row>
    <row r="22" spans="2:6" ht="16.8" x14ac:dyDescent="0.65">
      <c r="B22" s="3" t="s">
        <v>25</v>
      </c>
    </row>
    <row r="23" spans="2:6" x14ac:dyDescent="0.55000000000000004">
      <c r="B23" s="5" t="s">
        <v>26</v>
      </c>
      <c r="C23" s="9">
        <v>0.02</v>
      </c>
      <c r="D23" s="10" t="s">
        <v>27</v>
      </c>
    </row>
    <row r="24" spans="2:6" x14ac:dyDescent="0.55000000000000004">
      <c r="B24" s="5" t="s">
        <v>28</v>
      </c>
      <c r="C24" s="9">
        <v>0.01</v>
      </c>
    </row>
    <row r="25" spans="2:6" x14ac:dyDescent="0.55000000000000004">
      <c r="B25" s="5" t="s">
        <v>29</v>
      </c>
      <c r="C25" s="9">
        <v>0.15</v>
      </c>
    </row>
    <row r="27" spans="2:6" ht="16.8" x14ac:dyDescent="0.65">
      <c r="B27" s="3" t="s">
        <v>30</v>
      </c>
      <c r="F27" s="10" t="s">
        <v>31</v>
      </c>
    </row>
    <row r="28" spans="2:6" ht="15.6" x14ac:dyDescent="0.6">
      <c r="B28" s="4" t="s">
        <v>32</v>
      </c>
      <c r="C28" s="4" t="s">
        <v>33</v>
      </c>
      <c r="D28" s="4" t="s">
        <v>34</v>
      </c>
      <c r="E28" s="4" t="s">
        <v>35</v>
      </c>
      <c r="F28" s="10" t="s">
        <v>36</v>
      </c>
    </row>
    <row r="29" spans="2:6" x14ac:dyDescent="0.55000000000000004">
      <c r="B29" s="5" t="s">
        <v>37</v>
      </c>
      <c r="C29" s="8">
        <v>55</v>
      </c>
      <c r="D29" s="9">
        <v>0.55000000000000004</v>
      </c>
      <c r="E29" s="11">
        <f>C29*D29</f>
        <v>30.250000000000004</v>
      </c>
      <c r="F29" s="10" t="s">
        <v>38</v>
      </c>
    </row>
    <row r="30" spans="2:6" x14ac:dyDescent="0.55000000000000004">
      <c r="B30" s="5" t="s">
        <v>39</v>
      </c>
      <c r="C30" s="8">
        <v>15</v>
      </c>
      <c r="D30" s="9">
        <v>0.35</v>
      </c>
      <c r="E30" s="11">
        <f>C30*D30</f>
        <v>5.25</v>
      </c>
      <c r="F30" s="10" t="s">
        <v>40</v>
      </c>
    </row>
    <row r="31" spans="2:6" x14ac:dyDescent="0.55000000000000004">
      <c r="B31" s="5" t="s">
        <v>41</v>
      </c>
      <c r="C31" s="8">
        <v>6</v>
      </c>
      <c r="D31" s="9">
        <v>0.1</v>
      </c>
      <c r="E31" s="11">
        <f>C31*D31</f>
        <v>0.60000000000000009</v>
      </c>
      <c r="F31" s="10" t="s">
        <v>42</v>
      </c>
    </row>
    <row r="32" spans="2:6" x14ac:dyDescent="0.55000000000000004">
      <c r="B32" s="12" t="s">
        <v>43</v>
      </c>
      <c r="D32" s="13">
        <f>D29+D30+D31</f>
        <v>1</v>
      </c>
    </row>
    <row r="33" spans="2:6" x14ac:dyDescent="0.55000000000000004">
      <c r="B33" s="12" t="s">
        <v>44</v>
      </c>
      <c r="C33" s="14">
        <f>E29+E30+E31</f>
        <v>36.1</v>
      </c>
      <c r="E33" s="12"/>
      <c r="F33" s="10" t="s">
        <v>45</v>
      </c>
    </row>
    <row r="34" spans="2:6" x14ac:dyDescent="0.55000000000000004">
      <c r="B34" s="5" t="s">
        <v>46</v>
      </c>
      <c r="C34" s="9">
        <v>0.85</v>
      </c>
      <c r="F34" s="10" t="s">
        <v>47</v>
      </c>
    </row>
    <row r="35" spans="2:6" x14ac:dyDescent="0.55000000000000004">
      <c r="B35" s="5" t="s">
        <v>48</v>
      </c>
      <c r="C35" s="9">
        <v>0.2</v>
      </c>
      <c r="F35" s="10" t="s">
        <v>49</v>
      </c>
    </row>
    <row r="37" spans="2:6" ht="16.8" x14ac:dyDescent="0.65">
      <c r="B37" s="3" t="s">
        <v>50</v>
      </c>
    </row>
    <row r="38" spans="2:6" x14ac:dyDescent="0.55000000000000004">
      <c r="B38" s="5" t="s">
        <v>51</v>
      </c>
      <c r="C38" s="8">
        <v>8</v>
      </c>
      <c r="F38" s="10" t="s">
        <v>52</v>
      </c>
    </row>
    <row r="39" spans="2:6" x14ac:dyDescent="0.55000000000000004">
      <c r="B39" s="5" t="s">
        <v>53</v>
      </c>
      <c r="C39" s="8">
        <v>2</v>
      </c>
      <c r="F39" s="10" t="s">
        <v>54</v>
      </c>
    </row>
    <row r="40" spans="2:6" x14ac:dyDescent="0.55000000000000004">
      <c r="B40" s="5" t="s">
        <v>55</v>
      </c>
      <c r="C40" s="9">
        <v>0.4</v>
      </c>
      <c r="F40" s="10" t="s">
        <v>56</v>
      </c>
    </row>
    <row r="41" spans="2:6" x14ac:dyDescent="0.55000000000000004">
      <c r="B41" s="12" t="s">
        <v>57</v>
      </c>
      <c r="C41" s="8">
        <v>5</v>
      </c>
      <c r="F41" s="10" t="s">
        <v>58</v>
      </c>
    </row>
    <row r="42" spans="2:6" x14ac:dyDescent="0.55000000000000004">
      <c r="B42" s="5" t="s">
        <v>59</v>
      </c>
      <c r="C42" s="8">
        <v>8</v>
      </c>
      <c r="F42" s="10" t="s">
        <v>60</v>
      </c>
    </row>
    <row r="43" spans="2:6" x14ac:dyDescent="0.55000000000000004">
      <c r="B43" s="5" t="s">
        <v>61</v>
      </c>
      <c r="C43" s="8">
        <v>3</v>
      </c>
      <c r="F43" s="10" t="s">
        <v>62</v>
      </c>
    </row>
    <row r="45" spans="2:6" ht="16.8" x14ac:dyDescent="0.65">
      <c r="B45" s="3" t="s">
        <v>63</v>
      </c>
      <c r="F45" s="10" t="s">
        <v>64</v>
      </c>
    </row>
    <row r="46" spans="2:6" ht="15.6" x14ac:dyDescent="0.6">
      <c r="B46" s="4" t="s">
        <v>65</v>
      </c>
      <c r="C46" s="4" t="s">
        <v>66</v>
      </c>
      <c r="D46" s="4" t="s">
        <v>67</v>
      </c>
    </row>
    <row r="47" spans="2:6" x14ac:dyDescent="0.55000000000000004">
      <c r="B47" s="5" t="s">
        <v>68</v>
      </c>
      <c r="C47" s="15">
        <v>0.01</v>
      </c>
      <c r="D47" s="10" t="s">
        <v>69</v>
      </c>
      <c r="F47" s="10" t="s">
        <v>70</v>
      </c>
    </row>
    <row r="48" spans="2:6" x14ac:dyDescent="0.55000000000000004">
      <c r="B48" s="5" t="s">
        <v>71</v>
      </c>
      <c r="C48" s="15">
        <v>0.1</v>
      </c>
      <c r="D48" s="10" t="s">
        <v>72</v>
      </c>
      <c r="F48" s="10" t="s">
        <v>73</v>
      </c>
    </row>
    <row r="49" spans="2:6" x14ac:dyDescent="0.55000000000000004">
      <c r="B49" s="5" t="s">
        <v>74</v>
      </c>
      <c r="C49" s="15">
        <v>0.01</v>
      </c>
      <c r="D49" s="10" t="s">
        <v>75</v>
      </c>
      <c r="F49" s="10" t="s">
        <v>76</v>
      </c>
    </row>
    <row r="50" spans="2:6" x14ac:dyDescent="0.55000000000000004">
      <c r="B50" s="5" t="s">
        <v>77</v>
      </c>
      <c r="C50" s="15">
        <v>0.01</v>
      </c>
      <c r="D50" s="10" t="s">
        <v>78</v>
      </c>
      <c r="F50" s="10" t="s">
        <v>79</v>
      </c>
    </row>
    <row r="51" spans="2:6" x14ac:dyDescent="0.55000000000000004">
      <c r="B51" s="5" t="s">
        <v>80</v>
      </c>
      <c r="C51" s="15">
        <v>8.6999999999999994E-2</v>
      </c>
      <c r="D51" s="10" t="s">
        <v>81</v>
      </c>
      <c r="F51" s="10" t="s">
        <v>82</v>
      </c>
    </row>
    <row r="53" spans="2:6" ht="16.8" x14ac:dyDescent="0.65">
      <c r="B53" s="3" t="s">
        <v>83</v>
      </c>
      <c r="F53" s="10" t="s">
        <v>84</v>
      </c>
    </row>
    <row r="54" spans="2:6" ht="15.6" x14ac:dyDescent="0.6">
      <c r="B54" s="4" t="s">
        <v>65</v>
      </c>
      <c r="C54" s="4" t="s">
        <v>66</v>
      </c>
      <c r="D54" s="4" t="s">
        <v>67</v>
      </c>
    </row>
    <row r="55" spans="2:6" x14ac:dyDescent="0.55000000000000004">
      <c r="B55" s="5" t="s">
        <v>68</v>
      </c>
      <c r="C55" s="15">
        <v>1.4999999999999999E-2</v>
      </c>
      <c r="D55" s="10" t="s">
        <v>69</v>
      </c>
      <c r="F55" s="10" t="s">
        <v>85</v>
      </c>
    </row>
    <row r="56" spans="2:6" x14ac:dyDescent="0.55000000000000004">
      <c r="B56" s="5" t="s">
        <v>86</v>
      </c>
      <c r="C56" s="6">
        <v>4.5</v>
      </c>
      <c r="D56" s="10" t="s">
        <v>87</v>
      </c>
      <c r="F56" s="10" t="s">
        <v>88</v>
      </c>
    </row>
    <row r="57" spans="2:6" x14ac:dyDescent="0.55000000000000004">
      <c r="B57" s="5" t="s">
        <v>89</v>
      </c>
      <c r="C57" s="6">
        <v>0.36</v>
      </c>
      <c r="D57" s="10" t="s">
        <v>90</v>
      </c>
      <c r="F57" s="10" t="s">
        <v>91</v>
      </c>
    </row>
    <row r="58" spans="2:6" x14ac:dyDescent="0.55000000000000004">
      <c r="B58" s="5" t="s">
        <v>92</v>
      </c>
      <c r="C58" s="15">
        <v>0</v>
      </c>
      <c r="D58" s="10" t="s">
        <v>93</v>
      </c>
      <c r="F58" s="10" t="s">
        <v>94</v>
      </c>
    </row>
    <row r="59" spans="2:6" x14ac:dyDescent="0.55000000000000004">
      <c r="B59" s="5" t="s">
        <v>95</v>
      </c>
      <c r="C59" s="8">
        <v>10</v>
      </c>
      <c r="D59" s="10" t="s">
        <v>96</v>
      </c>
      <c r="F59" s="10" t="s">
        <v>97</v>
      </c>
    </row>
    <row r="61" spans="2:6" ht="16.8" x14ac:dyDescent="0.65">
      <c r="B61" s="3" t="s">
        <v>98</v>
      </c>
    </row>
    <row r="62" spans="2:6" ht="15.6" x14ac:dyDescent="0.6">
      <c r="B62" s="4" t="s">
        <v>65</v>
      </c>
      <c r="C62" s="4" t="s">
        <v>66</v>
      </c>
      <c r="D62" s="4" t="s">
        <v>67</v>
      </c>
    </row>
    <row r="63" spans="2:6" x14ac:dyDescent="0.55000000000000004">
      <c r="B63" s="5" t="s">
        <v>68</v>
      </c>
      <c r="C63" s="15">
        <v>4.4999999999999998E-2</v>
      </c>
      <c r="D63" s="10" t="s">
        <v>69</v>
      </c>
      <c r="F63" s="10" t="s">
        <v>99</v>
      </c>
    </row>
    <row r="64" spans="2:6" x14ac:dyDescent="0.55000000000000004">
      <c r="B64" s="5" t="s">
        <v>100</v>
      </c>
      <c r="C64" s="15">
        <v>3.6000000000000002E-4</v>
      </c>
      <c r="D64" s="10" t="s">
        <v>101</v>
      </c>
      <c r="F64" s="10" t="s">
        <v>102</v>
      </c>
    </row>
    <row r="65" spans="2:6" x14ac:dyDescent="0.55000000000000004">
      <c r="B65" s="5" t="s">
        <v>103</v>
      </c>
      <c r="C65" s="8">
        <v>2</v>
      </c>
      <c r="D65" s="10" t="s">
        <v>104</v>
      </c>
      <c r="F65" s="10" t="s">
        <v>105</v>
      </c>
    </row>
    <row r="67" spans="2:6" ht="16.8" x14ac:dyDescent="0.65">
      <c r="B67" s="3" t="s">
        <v>106</v>
      </c>
    </row>
    <row r="68" spans="2:6" ht="15.6" x14ac:dyDescent="0.6">
      <c r="B68" s="4" t="s">
        <v>65</v>
      </c>
      <c r="C68" s="4" t="s">
        <v>66</v>
      </c>
      <c r="D68" s="4" t="s">
        <v>67</v>
      </c>
    </row>
    <row r="69" spans="2:6" x14ac:dyDescent="0.55000000000000004">
      <c r="B69" s="5" t="s">
        <v>107</v>
      </c>
      <c r="C69" s="6">
        <v>0.2</v>
      </c>
      <c r="D69" s="10" t="s">
        <v>108</v>
      </c>
      <c r="F69" s="10" t="s">
        <v>109</v>
      </c>
    </row>
    <row r="70" spans="2:6" x14ac:dyDescent="0.55000000000000004">
      <c r="B70" s="5" t="s">
        <v>110</v>
      </c>
      <c r="C70" s="16">
        <v>1.5999999999999999E-5</v>
      </c>
      <c r="D70" s="10" t="s">
        <v>111</v>
      </c>
      <c r="F70" s="10" t="s">
        <v>112</v>
      </c>
    </row>
    <row r="71" spans="2:6" x14ac:dyDescent="0.55000000000000004">
      <c r="B71" s="5" t="s">
        <v>113</v>
      </c>
      <c r="C71" s="8">
        <v>200</v>
      </c>
      <c r="D71" s="10" t="s">
        <v>114</v>
      </c>
      <c r="F71" s="10" t="s">
        <v>115</v>
      </c>
    </row>
    <row r="72" spans="2:6" x14ac:dyDescent="0.55000000000000004">
      <c r="B72" s="5" t="s">
        <v>116</v>
      </c>
      <c r="C72" s="8">
        <v>128</v>
      </c>
      <c r="D72" s="10" t="s">
        <v>117</v>
      </c>
      <c r="F72" s="10" t="s">
        <v>118</v>
      </c>
    </row>
    <row r="73" spans="2:6" x14ac:dyDescent="0.55000000000000004">
      <c r="B73" s="5" t="s">
        <v>119</v>
      </c>
      <c r="C73" s="8">
        <v>1000000</v>
      </c>
      <c r="D73" s="10" t="s">
        <v>120</v>
      </c>
    </row>
    <row r="74" spans="2:6" x14ac:dyDescent="0.55000000000000004">
      <c r="B74" s="5" t="s">
        <v>121</v>
      </c>
      <c r="C74" s="8">
        <v>400000</v>
      </c>
      <c r="D74" s="10" t="s">
        <v>122</v>
      </c>
    </row>
    <row r="76" spans="2:6" ht="16.8" x14ac:dyDescent="0.65">
      <c r="B76" s="3" t="s">
        <v>123</v>
      </c>
    </row>
    <row r="77" spans="2:6" ht="15.6" x14ac:dyDescent="0.6">
      <c r="B77" s="4" t="s">
        <v>19</v>
      </c>
      <c r="C77" s="4" t="s">
        <v>124</v>
      </c>
      <c r="D77" s="4" t="s">
        <v>125</v>
      </c>
    </row>
    <row r="78" spans="2:6" x14ac:dyDescent="0.55000000000000004">
      <c r="B78" s="5" t="s">
        <v>126</v>
      </c>
      <c r="C78" s="6">
        <v>0</v>
      </c>
      <c r="D78" s="10" t="s">
        <v>127</v>
      </c>
      <c r="F78" s="10" t="s">
        <v>128</v>
      </c>
    </row>
    <row r="79" spans="2:6" x14ac:dyDescent="0.55000000000000004">
      <c r="B79" s="5" t="s">
        <v>129</v>
      </c>
      <c r="C79" s="15">
        <v>2.5000000000000001E-3</v>
      </c>
      <c r="D79" s="10" t="s">
        <v>130</v>
      </c>
    </row>
    <row r="80" spans="2:6" x14ac:dyDescent="0.55000000000000004">
      <c r="B80" s="5" t="s">
        <v>131</v>
      </c>
      <c r="C80" s="6">
        <v>15</v>
      </c>
    </row>
    <row r="81" spans="2:6" x14ac:dyDescent="0.55000000000000004">
      <c r="B81" s="5" t="s">
        <v>132</v>
      </c>
      <c r="C81" s="6">
        <v>10</v>
      </c>
      <c r="D81" s="10" t="s">
        <v>133</v>
      </c>
    </row>
    <row r="83" spans="2:6" ht="16.8" x14ac:dyDescent="0.65">
      <c r="B83" s="3" t="s">
        <v>134</v>
      </c>
    </row>
    <row r="84" spans="2:6" ht="15.6" x14ac:dyDescent="0.6">
      <c r="B84" s="4" t="s">
        <v>135</v>
      </c>
      <c r="C84" s="4" t="s">
        <v>124</v>
      </c>
      <c r="D84" s="4" t="s">
        <v>21</v>
      </c>
    </row>
    <row r="85" spans="2:6" x14ac:dyDescent="0.55000000000000004">
      <c r="B85" s="5" t="s">
        <v>136</v>
      </c>
      <c r="C85" s="17">
        <v>500</v>
      </c>
      <c r="D85" s="9">
        <v>0.05</v>
      </c>
    </row>
    <row r="86" spans="2:6" x14ac:dyDescent="0.55000000000000004">
      <c r="B86" s="5" t="s">
        <v>137</v>
      </c>
      <c r="C86" s="6">
        <v>3.5</v>
      </c>
      <c r="D86" s="10" t="s">
        <v>138</v>
      </c>
    </row>
    <row r="87" spans="2:6" x14ac:dyDescent="0.55000000000000004">
      <c r="B87" s="5" t="s">
        <v>139</v>
      </c>
      <c r="C87" s="9">
        <v>2.9000000000000001E-2</v>
      </c>
      <c r="D87" s="10" t="s">
        <v>140</v>
      </c>
    </row>
    <row r="88" spans="2:6" x14ac:dyDescent="0.55000000000000004">
      <c r="B88" s="5" t="s">
        <v>141</v>
      </c>
      <c r="C88" s="17">
        <v>200</v>
      </c>
      <c r="D88" s="9">
        <v>0.03</v>
      </c>
    </row>
    <row r="89" spans="2:6" x14ac:dyDescent="0.55000000000000004">
      <c r="B89" s="5" t="s">
        <v>142</v>
      </c>
      <c r="C89" s="17">
        <v>150</v>
      </c>
      <c r="D89" s="9">
        <v>0</v>
      </c>
    </row>
    <row r="91" spans="2:6" ht="16.8" x14ac:dyDescent="0.65">
      <c r="B91" s="3" t="s">
        <v>143</v>
      </c>
    </row>
    <row r="92" spans="2:6" x14ac:dyDescent="0.55000000000000004">
      <c r="B92" s="5" t="s">
        <v>144</v>
      </c>
      <c r="C92" s="9">
        <v>0.21</v>
      </c>
    </row>
    <row r="94" spans="2:6" ht="16.8" x14ac:dyDescent="0.65">
      <c r="B94" s="3" t="s">
        <v>145</v>
      </c>
      <c r="F94" s="10" t="s">
        <v>146</v>
      </c>
    </row>
    <row r="95" spans="2:6" ht="15.6" x14ac:dyDescent="0.6">
      <c r="B95" s="4" t="s">
        <v>19</v>
      </c>
      <c r="C95" s="4" t="s">
        <v>147</v>
      </c>
      <c r="D95" s="4" t="s">
        <v>125</v>
      </c>
    </row>
    <row r="96" spans="2:6" x14ac:dyDescent="0.55000000000000004">
      <c r="B96" s="5" t="s">
        <v>148</v>
      </c>
      <c r="C96" s="9">
        <v>0.06</v>
      </c>
      <c r="D96" s="10" t="s">
        <v>149</v>
      </c>
      <c r="F96" s="10" t="s">
        <v>150</v>
      </c>
    </row>
    <row r="97" spans="2:6" x14ac:dyDescent="0.55000000000000004">
      <c r="B97" s="5" t="s">
        <v>151</v>
      </c>
      <c r="C97" s="9">
        <v>0.6</v>
      </c>
      <c r="D97" s="10" t="s">
        <v>152</v>
      </c>
      <c r="F97" s="10" t="s">
        <v>153</v>
      </c>
    </row>
    <row r="98" spans="2:6" x14ac:dyDescent="0.55000000000000004">
      <c r="B98" s="5" t="s">
        <v>154</v>
      </c>
      <c r="C98" s="9">
        <v>0.8</v>
      </c>
      <c r="D98" s="10" t="s">
        <v>155</v>
      </c>
      <c r="F98" s="10" t="s">
        <v>156</v>
      </c>
    </row>
    <row r="99" spans="2:6" x14ac:dyDescent="0.55000000000000004">
      <c r="B99" s="5" t="s">
        <v>157</v>
      </c>
      <c r="C99" s="6">
        <v>5</v>
      </c>
      <c r="F99" s="10" t="s">
        <v>158</v>
      </c>
    </row>
    <row r="100" spans="2:6" x14ac:dyDescent="0.55000000000000004">
      <c r="B100" s="5" t="s">
        <v>159</v>
      </c>
      <c r="C100" s="6">
        <v>2</v>
      </c>
      <c r="F100" s="10" t="s">
        <v>160</v>
      </c>
    </row>
    <row r="101" spans="2:6" x14ac:dyDescent="0.55000000000000004">
      <c r="B101" s="5" t="s">
        <v>161</v>
      </c>
      <c r="C101" s="9">
        <v>0.03</v>
      </c>
      <c r="D101" s="10" t="s">
        <v>162</v>
      </c>
      <c r="F101" s="10" t="s">
        <v>163</v>
      </c>
    </row>
    <row r="102" spans="2:6" x14ac:dyDescent="0.55000000000000004">
      <c r="B102" s="5" t="s">
        <v>164</v>
      </c>
      <c r="C102" s="6">
        <v>3.5</v>
      </c>
      <c r="F102" s="10" t="s">
        <v>165</v>
      </c>
    </row>
    <row r="103" spans="2:6" x14ac:dyDescent="0.55000000000000004">
      <c r="B103" s="5" t="s">
        <v>166</v>
      </c>
      <c r="C103" s="9">
        <v>1</v>
      </c>
      <c r="D103" s="10" t="s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B1:Z113"/>
  <sheetViews>
    <sheetView workbookViewId="0">
      <pane xSplit="2" ySplit="4" topLeftCell="C94" activePane="bottomRight" state="frozen"/>
      <selection pane="topRight"/>
      <selection pane="bottomLeft"/>
      <selection pane="bottomRight" activeCell="C82" sqref="C82"/>
    </sheetView>
  </sheetViews>
  <sheetFormatPr defaultRowHeight="14.4" x14ac:dyDescent="0.55000000000000004"/>
  <cols>
    <col min="1" max="1" width="3" customWidth="1"/>
    <col min="2" max="2" width="48" customWidth="1"/>
    <col min="3" max="26" width="14" customWidth="1"/>
  </cols>
  <sheetData>
    <row r="1" spans="2:26" ht="20.399999999999999" x14ac:dyDescent="0.75">
      <c r="B1" s="1" t="s">
        <v>168</v>
      </c>
    </row>
    <row r="2" spans="2:26" x14ac:dyDescent="0.55000000000000004">
      <c r="B2" s="2" t="s">
        <v>169</v>
      </c>
    </row>
    <row r="4" spans="2:26" ht="15.6" x14ac:dyDescent="0.6">
      <c r="B4" s="18"/>
      <c r="C4" s="4" t="s">
        <v>170</v>
      </c>
      <c r="D4" s="4" t="s">
        <v>171</v>
      </c>
      <c r="E4" s="4" t="s">
        <v>172</v>
      </c>
      <c r="F4" s="4" t="s">
        <v>173</v>
      </c>
      <c r="G4" s="4" t="s">
        <v>174</v>
      </c>
      <c r="H4" s="4" t="s">
        <v>175</v>
      </c>
      <c r="I4" s="4" t="s">
        <v>176</v>
      </c>
      <c r="J4" s="4" t="s">
        <v>177</v>
      </c>
      <c r="K4" s="4" t="s">
        <v>178</v>
      </c>
      <c r="L4" s="4" t="s">
        <v>179</v>
      </c>
      <c r="M4" s="4" t="s">
        <v>180</v>
      </c>
      <c r="N4" s="4" t="s">
        <v>181</v>
      </c>
      <c r="O4" s="4" t="s">
        <v>182</v>
      </c>
      <c r="P4" s="4" t="s">
        <v>183</v>
      </c>
      <c r="Q4" s="4" t="s">
        <v>184</v>
      </c>
      <c r="R4" s="4" t="s">
        <v>185</v>
      </c>
      <c r="S4" s="4" t="s">
        <v>186</v>
      </c>
      <c r="T4" s="4" t="s">
        <v>187</v>
      </c>
      <c r="U4" s="4" t="s">
        <v>188</v>
      </c>
      <c r="V4" s="4" t="s">
        <v>189</v>
      </c>
      <c r="W4" s="4" t="s">
        <v>190</v>
      </c>
      <c r="X4" s="4" t="s">
        <v>191</v>
      </c>
      <c r="Y4" s="4" t="s">
        <v>192</v>
      </c>
      <c r="Z4" s="4" t="s">
        <v>193</v>
      </c>
    </row>
    <row r="5" spans="2:26" ht="16.8" x14ac:dyDescent="0.65">
      <c r="B5" s="3" t="s">
        <v>194</v>
      </c>
    </row>
    <row r="6" spans="2:26" x14ac:dyDescent="0.55000000000000004">
      <c r="B6" s="5" t="s">
        <v>195</v>
      </c>
      <c r="C6" s="19">
        <f>Assumptions!C18</f>
        <v>100</v>
      </c>
      <c r="D6" s="19">
        <f>ROUND(C6*(1+Assumptions!D18),0)</f>
        <v>108</v>
      </c>
      <c r="E6" s="19">
        <f>ROUND(D6*(1+Assumptions!D18),0)</f>
        <v>117</v>
      </c>
      <c r="F6" s="19">
        <f>ROUND(E6*(1+Assumptions!D18),0)</f>
        <v>126</v>
      </c>
      <c r="G6" s="19">
        <f>ROUND(F6*(1+Assumptions!D18),0)</f>
        <v>136</v>
      </c>
      <c r="H6" s="19">
        <f>ROUND(G6*(1+Assumptions!D18),0)</f>
        <v>147</v>
      </c>
      <c r="I6" s="19">
        <f>ROUND(H6*(1+Assumptions!D18),0)</f>
        <v>159</v>
      </c>
      <c r="J6" s="19">
        <f>ROUND(I6*(1+Assumptions!D18),0)</f>
        <v>172</v>
      </c>
      <c r="K6" s="19">
        <f>ROUND(J6*(1+Assumptions!D18),0)</f>
        <v>186</v>
      </c>
      <c r="L6" s="19">
        <f>ROUND(K6*(1+Assumptions!D18),0)</f>
        <v>201</v>
      </c>
      <c r="M6" s="19">
        <f>ROUND(L6*(1+Assumptions!D18),0)</f>
        <v>217</v>
      </c>
      <c r="N6" s="19">
        <f>ROUND(M6*(1+Assumptions!D18),0)</f>
        <v>234</v>
      </c>
      <c r="O6" s="19">
        <f>ROUND(N6*(1+Assumptions!D18),0)</f>
        <v>253</v>
      </c>
      <c r="P6" s="19">
        <f>ROUND(O6*(1+Assumptions!D18),0)</f>
        <v>273</v>
      </c>
      <c r="Q6" s="19">
        <f>ROUND(P6*(1+Assumptions!D18),0)</f>
        <v>295</v>
      </c>
      <c r="R6" s="19">
        <f>ROUND(Q6*(1+Assumptions!D18),0)</f>
        <v>319</v>
      </c>
      <c r="S6" s="19">
        <f>ROUND(R6*(1+Assumptions!D18),0)</f>
        <v>345</v>
      </c>
      <c r="T6" s="19">
        <f>ROUND(S6*(1+Assumptions!D18),0)</f>
        <v>373</v>
      </c>
      <c r="U6" s="19">
        <f>ROUND(T6*(1+Assumptions!D18),0)</f>
        <v>403</v>
      </c>
      <c r="V6" s="19">
        <f>ROUND(U6*(1+Assumptions!D18),0)</f>
        <v>435</v>
      </c>
      <c r="W6" s="19">
        <f>ROUND(V6*(1+Assumptions!D18),0)</f>
        <v>470</v>
      </c>
      <c r="X6" s="19">
        <f>ROUND(W6*(1+Assumptions!D18),0)</f>
        <v>508</v>
      </c>
      <c r="Y6" s="19">
        <f>ROUND(X6*(1+Assumptions!D18),0)</f>
        <v>549</v>
      </c>
      <c r="Z6" s="19">
        <f>ROUND(Y6*(1+Assumptions!D18),0)</f>
        <v>593</v>
      </c>
    </row>
    <row r="7" spans="2:26" x14ac:dyDescent="0.55000000000000004">
      <c r="B7" s="5" t="s">
        <v>196</v>
      </c>
      <c r="C7" s="19">
        <f>Assumptions!C19</f>
        <v>40</v>
      </c>
      <c r="D7" s="19">
        <f>ROUND(C7*(1+Assumptions!D19),0)</f>
        <v>44</v>
      </c>
      <c r="E7" s="19">
        <f>ROUND(D7*(1+Assumptions!D19),0)</f>
        <v>48</v>
      </c>
      <c r="F7" s="19">
        <f>ROUND(E7*(1+Assumptions!D19),0)</f>
        <v>53</v>
      </c>
      <c r="G7" s="19">
        <f>ROUND(F7*(1+Assumptions!D19),0)</f>
        <v>58</v>
      </c>
      <c r="H7" s="19">
        <f>ROUND(G7*(1+Assumptions!D19),0)</f>
        <v>64</v>
      </c>
      <c r="I7" s="19">
        <f>ROUND(H7*(1+Assumptions!D19),0)</f>
        <v>70</v>
      </c>
      <c r="J7" s="19">
        <f>ROUND(I7*(1+Assumptions!D19),0)</f>
        <v>77</v>
      </c>
      <c r="K7" s="19">
        <f>ROUND(J7*(1+Assumptions!D19),0)</f>
        <v>85</v>
      </c>
      <c r="L7" s="19">
        <f>ROUND(K7*(1+Assumptions!D19),0)</f>
        <v>94</v>
      </c>
      <c r="M7" s="19">
        <f>ROUND(L7*(1+Assumptions!D19),0)</f>
        <v>103</v>
      </c>
      <c r="N7" s="19">
        <f>ROUND(M7*(1+Assumptions!D19),0)</f>
        <v>113</v>
      </c>
      <c r="O7" s="19">
        <f>ROUND(N7*(1+Assumptions!D19),0)</f>
        <v>124</v>
      </c>
      <c r="P7" s="19">
        <f>ROUND(O7*(1+Assumptions!D19),0)</f>
        <v>136</v>
      </c>
      <c r="Q7" s="19">
        <f>ROUND(P7*(1+Assumptions!D19),0)</f>
        <v>150</v>
      </c>
      <c r="R7" s="19">
        <f>ROUND(Q7*(1+Assumptions!D19),0)</f>
        <v>165</v>
      </c>
      <c r="S7" s="19">
        <f>ROUND(R7*(1+Assumptions!D19),0)</f>
        <v>182</v>
      </c>
      <c r="T7" s="19">
        <f>ROUND(S7*(1+Assumptions!D19),0)</f>
        <v>200</v>
      </c>
      <c r="U7" s="19">
        <f>ROUND(T7*(1+Assumptions!D19),0)</f>
        <v>220</v>
      </c>
      <c r="V7" s="19">
        <f>ROUND(U7*(1+Assumptions!D19),0)</f>
        <v>242</v>
      </c>
      <c r="W7" s="19">
        <f>ROUND(V7*(1+Assumptions!D19),0)</f>
        <v>266</v>
      </c>
      <c r="X7" s="19">
        <f>ROUND(W7*(1+Assumptions!D19),0)</f>
        <v>293</v>
      </c>
      <c r="Y7" s="19">
        <f>ROUND(X7*(1+Assumptions!D19),0)</f>
        <v>322</v>
      </c>
      <c r="Z7" s="19">
        <f>ROUND(Y7*(1+Assumptions!D19),0)</f>
        <v>354</v>
      </c>
    </row>
    <row r="8" spans="2:26" x14ac:dyDescent="0.55000000000000004">
      <c r="B8" s="5" t="s">
        <v>197</v>
      </c>
      <c r="C8" s="19">
        <f>Assumptions!C20</f>
        <v>15</v>
      </c>
      <c r="D8" s="19">
        <f>ROUND(C8*(1+Assumptions!D20),0)</f>
        <v>17</v>
      </c>
      <c r="E8" s="19">
        <f>ROUND(D8*(1+Assumptions!D20),0)</f>
        <v>19</v>
      </c>
      <c r="F8" s="19">
        <f>ROUND(E8*(1+Assumptions!D20),0)</f>
        <v>21</v>
      </c>
      <c r="G8" s="19">
        <f>ROUND(F8*(1+Assumptions!D20),0)</f>
        <v>24</v>
      </c>
      <c r="H8" s="19">
        <f>ROUND(G8*(1+Assumptions!D20),0)</f>
        <v>27</v>
      </c>
      <c r="I8" s="19">
        <f>ROUND(H8*(1+Assumptions!D20),0)</f>
        <v>30</v>
      </c>
      <c r="J8" s="19">
        <f>ROUND(I8*(1+Assumptions!D20),0)</f>
        <v>34</v>
      </c>
      <c r="K8" s="19">
        <f>ROUND(J8*(1+Assumptions!D20),0)</f>
        <v>38</v>
      </c>
      <c r="L8" s="19">
        <f>ROUND(K8*(1+Assumptions!D20),0)</f>
        <v>43</v>
      </c>
      <c r="M8" s="19">
        <f>ROUND(L8*(1+Assumptions!D20),0)</f>
        <v>48</v>
      </c>
      <c r="N8" s="19">
        <f>ROUND(M8*(1+Assumptions!D20),0)</f>
        <v>54</v>
      </c>
      <c r="O8" s="19">
        <f>ROUND(N8*(1+Assumptions!D20),0)</f>
        <v>60</v>
      </c>
      <c r="P8" s="19">
        <f>ROUND(O8*(1+Assumptions!D20),0)</f>
        <v>67</v>
      </c>
      <c r="Q8" s="19">
        <f>ROUND(P8*(1+Assumptions!D20),0)</f>
        <v>75</v>
      </c>
      <c r="R8" s="19">
        <f>ROUND(Q8*(1+Assumptions!D20),0)</f>
        <v>84</v>
      </c>
      <c r="S8" s="19">
        <f>ROUND(R8*(1+Assumptions!D20),0)</f>
        <v>94</v>
      </c>
      <c r="T8" s="19">
        <f>ROUND(S8*(1+Assumptions!D20),0)</f>
        <v>105</v>
      </c>
      <c r="U8" s="19">
        <f>ROUND(T8*(1+Assumptions!D20),0)</f>
        <v>118</v>
      </c>
      <c r="V8" s="19">
        <f>ROUND(U8*(1+Assumptions!D20),0)</f>
        <v>132</v>
      </c>
      <c r="W8" s="19">
        <f>ROUND(V8*(1+Assumptions!D20),0)</f>
        <v>148</v>
      </c>
      <c r="X8" s="19">
        <f>ROUND(W8*(1+Assumptions!D20),0)</f>
        <v>166</v>
      </c>
      <c r="Y8" s="19">
        <f>ROUND(X8*(1+Assumptions!D20),0)</f>
        <v>186</v>
      </c>
      <c r="Z8" s="19">
        <f>ROUND(Y8*(1+Assumptions!D20),0)</f>
        <v>208</v>
      </c>
    </row>
    <row r="9" spans="2:26" x14ac:dyDescent="0.55000000000000004">
      <c r="B9" s="20" t="s">
        <v>198</v>
      </c>
      <c r="C9" s="21">
        <f t="shared" ref="C9:Z9" si="0">C6+C7+C8</f>
        <v>155</v>
      </c>
      <c r="D9" s="21">
        <f t="shared" si="0"/>
        <v>169</v>
      </c>
      <c r="E9" s="21">
        <f t="shared" si="0"/>
        <v>184</v>
      </c>
      <c r="F9" s="21">
        <f t="shared" si="0"/>
        <v>200</v>
      </c>
      <c r="G9" s="21">
        <f t="shared" si="0"/>
        <v>218</v>
      </c>
      <c r="H9" s="21">
        <f t="shared" si="0"/>
        <v>238</v>
      </c>
      <c r="I9" s="21">
        <f t="shared" si="0"/>
        <v>259</v>
      </c>
      <c r="J9" s="21">
        <f t="shared" si="0"/>
        <v>283</v>
      </c>
      <c r="K9" s="21">
        <f t="shared" si="0"/>
        <v>309</v>
      </c>
      <c r="L9" s="21">
        <f t="shared" si="0"/>
        <v>338</v>
      </c>
      <c r="M9" s="21">
        <f t="shared" si="0"/>
        <v>368</v>
      </c>
      <c r="N9" s="21">
        <f t="shared" si="0"/>
        <v>401</v>
      </c>
      <c r="O9" s="21">
        <f t="shared" si="0"/>
        <v>437</v>
      </c>
      <c r="P9" s="21">
        <f t="shared" si="0"/>
        <v>476</v>
      </c>
      <c r="Q9" s="21">
        <f t="shared" si="0"/>
        <v>520</v>
      </c>
      <c r="R9" s="21">
        <f t="shared" si="0"/>
        <v>568</v>
      </c>
      <c r="S9" s="21">
        <f t="shared" si="0"/>
        <v>621</v>
      </c>
      <c r="T9" s="21">
        <f t="shared" si="0"/>
        <v>678</v>
      </c>
      <c r="U9" s="21">
        <f t="shared" si="0"/>
        <v>741</v>
      </c>
      <c r="V9" s="21">
        <f t="shared" si="0"/>
        <v>809</v>
      </c>
      <c r="W9" s="21">
        <f t="shared" si="0"/>
        <v>884</v>
      </c>
      <c r="X9" s="21">
        <f t="shared" si="0"/>
        <v>967</v>
      </c>
      <c r="Y9" s="21">
        <f t="shared" si="0"/>
        <v>1057</v>
      </c>
      <c r="Z9" s="21">
        <f t="shared" si="0"/>
        <v>1155</v>
      </c>
    </row>
    <row r="10" spans="2:26" x14ac:dyDescent="0.55000000000000004">
      <c r="B10" s="20" t="s">
        <v>199</v>
      </c>
      <c r="C10" s="21">
        <f>C9</f>
        <v>155</v>
      </c>
      <c r="D10" s="21">
        <f t="shared" ref="D10:Z10" si="1">C10+D9</f>
        <v>324</v>
      </c>
      <c r="E10" s="21">
        <f t="shared" si="1"/>
        <v>508</v>
      </c>
      <c r="F10" s="21">
        <f t="shared" si="1"/>
        <v>708</v>
      </c>
      <c r="G10" s="21">
        <f t="shared" si="1"/>
        <v>926</v>
      </c>
      <c r="H10" s="21">
        <f t="shared" si="1"/>
        <v>1164</v>
      </c>
      <c r="I10" s="21">
        <f t="shared" si="1"/>
        <v>1423</v>
      </c>
      <c r="J10" s="21">
        <f t="shared" si="1"/>
        <v>1706</v>
      </c>
      <c r="K10" s="21">
        <f t="shared" si="1"/>
        <v>2015</v>
      </c>
      <c r="L10" s="21">
        <f t="shared" si="1"/>
        <v>2353</v>
      </c>
      <c r="M10" s="21">
        <f t="shared" si="1"/>
        <v>2721</v>
      </c>
      <c r="N10" s="21">
        <f t="shared" si="1"/>
        <v>3122</v>
      </c>
      <c r="O10" s="21">
        <f t="shared" si="1"/>
        <v>3559</v>
      </c>
      <c r="P10" s="21">
        <f t="shared" si="1"/>
        <v>4035</v>
      </c>
      <c r="Q10" s="21">
        <f t="shared" si="1"/>
        <v>4555</v>
      </c>
      <c r="R10" s="21">
        <f t="shared" si="1"/>
        <v>5123</v>
      </c>
      <c r="S10" s="21">
        <f t="shared" si="1"/>
        <v>5744</v>
      </c>
      <c r="T10" s="21">
        <f t="shared" si="1"/>
        <v>6422</v>
      </c>
      <c r="U10" s="21">
        <f t="shared" si="1"/>
        <v>7163</v>
      </c>
      <c r="V10" s="21">
        <f t="shared" si="1"/>
        <v>7972</v>
      </c>
      <c r="W10" s="21">
        <f t="shared" si="1"/>
        <v>8856</v>
      </c>
      <c r="X10" s="21">
        <f t="shared" si="1"/>
        <v>9823</v>
      </c>
      <c r="Y10" s="21">
        <f t="shared" si="1"/>
        <v>10880</v>
      </c>
      <c r="Z10" s="21">
        <f t="shared" si="1"/>
        <v>12035</v>
      </c>
    </row>
    <row r="11" spans="2:26" x14ac:dyDescent="0.55000000000000004">
      <c r="B11" s="5" t="s">
        <v>200</v>
      </c>
      <c r="C11" s="19">
        <f>ROUND(C10*Assumptions!C34,0)</f>
        <v>132</v>
      </c>
      <c r="D11" s="19">
        <f>ROUND(D10*Assumptions!C34,0)</f>
        <v>275</v>
      </c>
      <c r="E11" s="19">
        <f>ROUND(E10*Assumptions!C34,0)</f>
        <v>432</v>
      </c>
      <c r="F11" s="19">
        <f>ROUND(F10*Assumptions!C34,0)</f>
        <v>602</v>
      </c>
      <c r="G11" s="19">
        <f>ROUND(G10*Assumptions!C34,0)</f>
        <v>787</v>
      </c>
      <c r="H11" s="19">
        <f>ROUND(H10*Assumptions!C34,0)</f>
        <v>989</v>
      </c>
      <c r="I11" s="19">
        <f>ROUND(I10*Assumptions!C34,0)</f>
        <v>1210</v>
      </c>
      <c r="J11" s="19">
        <f>ROUND(J10*Assumptions!C34,0)</f>
        <v>1450</v>
      </c>
      <c r="K11" s="19">
        <f>ROUND(K10*Assumptions!C34,0)</f>
        <v>1713</v>
      </c>
      <c r="L11" s="19">
        <f>ROUND(L10*Assumptions!C34,0)</f>
        <v>2000</v>
      </c>
      <c r="M11" s="19">
        <f>ROUND(M10*Assumptions!C34,0)</f>
        <v>2313</v>
      </c>
      <c r="N11" s="19">
        <f>ROUND(N10*Assumptions!C34,0)</f>
        <v>2654</v>
      </c>
      <c r="O11" s="19">
        <f>ROUND(O10*Assumptions!C34,0)</f>
        <v>3025</v>
      </c>
      <c r="P11" s="19">
        <f>ROUND(P10*Assumptions!C34,0)</f>
        <v>3430</v>
      </c>
      <c r="Q11" s="19">
        <f>ROUND(Q10*Assumptions!C34,0)</f>
        <v>3872</v>
      </c>
      <c r="R11" s="19">
        <f>ROUND(R10*Assumptions!C34,0)</f>
        <v>4355</v>
      </c>
      <c r="S11" s="19">
        <f>ROUND(S10*Assumptions!C34,0)</f>
        <v>4882</v>
      </c>
      <c r="T11" s="19">
        <f>ROUND(T10*Assumptions!C34,0)</f>
        <v>5459</v>
      </c>
      <c r="U11" s="19">
        <f>ROUND(U10*Assumptions!C34,0)</f>
        <v>6089</v>
      </c>
      <c r="V11" s="19">
        <f>ROUND(V10*Assumptions!C34,0)</f>
        <v>6776</v>
      </c>
      <c r="W11" s="19">
        <f>ROUND(W10*Assumptions!C34,0)</f>
        <v>7528</v>
      </c>
      <c r="X11" s="19">
        <f>ROUND(X10*Assumptions!C34,0)</f>
        <v>8350</v>
      </c>
      <c r="Y11" s="19">
        <f>ROUND(Y10*Assumptions!C34,0)</f>
        <v>9248</v>
      </c>
      <c r="Z11" s="19">
        <f>ROUND(Z10*Assumptions!C34,0)</f>
        <v>10230</v>
      </c>
    </row>
    <row r="13" spans="2:26" ht="16.8" x14ac:dyDescent="0.65">
      <c r="B13" s="3" t="s">
        <v>201</v>
      </c>
    </row>
    <row r="14" spans="2:26" x14ac:dyDescent="0.55000000000000004">
      <c r="B14" s="22" t="s">
        <v>202</v>
      </c>
      <c r="C14" s="11">
        <f>ROUND(C9*Assumptions!C34*Assumptions!C33/1024,2)</f>
        <v>4.6399999999999997</v>
      </c>
      <c r="D14" s="11">
        <f>ROUND(D9*Assumptions!C34*Assumptions!C33/1024,2)</f>
        <v>5.0599999999999996</v>
      </c>
      <c r="E14" s="11">
        <f>ROUND(E9*Assumptions!C34*Assumptions!C33/1024,2)</f>
        <v>5.51</v>
      </c>
      <c r="F14" s="11">
        <f>ROUND(F9*Assumptions!C34*Assumptions!C33/1024,2)</f>
        <v>5.99</v>
      </c>
      <c r="G14" s="11">
        <f>ROUND(G9*Assumptions!C34*Assumptions!C33/1024,2)</f>
        <v>6.53</v>
      </c>
      <c r="H14" s="11">
        <f>ROUND(H9*Assumptions!C34*Assumptions!C33/1024,2)</f>
        <v>7.13</v>
      </c>
      <c r="I14" s="11">
        <f>ROUND(I9*Assumptions!C34*Assumptions!C33/1024,2)</f>
        <v>7.76</v>
      </c>
      <c r="J14" s="11">
        <f>ROUND(J9*Assumptions!C34*Assumptions!C33/1024,2)</f>
        <v>8.48</v>
      </c>
      <c r="K14" s="11">
        <f>ROUND(K9*Assumptions!C34*Assumptions!C33/1024,2)</f>
        <v>9.26</v>
      </c>
      <c r="L14" s="11">
        <f>ROUND(L9*Assumptions!C34*Assumptions!C33/1024,2)</f>
        <v>10.130000000000001</v>
      </c>
      <c r="M14" s="11">
        <f>ROUND(M9*Assumptions!C34*Assumptions!C33/1024,2)</f>
        <v>11.03</v>
      </c>
      <c r="N14" s="11">
        <f>ROUND(N9*Assumptions!C34*Assumptions!C33/1024,2)</f>
        <v>12.02</v>
      </c>
      <c r="O14" s="11">
        <f>ROUND(O9*Assumptions!C34*Assumptions!C33/1024,2)</f>
        <v>13.1</v>
      </c>
      <c r="P14" s="11">
        <f>ROUND(P9*Assumptions!C34*Assumptions!C33/1024,2)</f>
        <v>14.26</v>
      </c>
      <c r="Q14" s="11">
        <f>ROUND(Q9*Assumptions!C34*Assumptions!C33/1024,2)</f>
        <v>15.58</v>
      </c>
      <c r="R14" s="11">
        <f>ROUND(R9*Assumptions!C34*Assumptions!C33/1024,2)</f>
        <v>17.02</v>
      </c>
      <c r="S14" s="11">
        <f>ROUND(S9*Assumptions!C34*Assumptions!C33/1024,2)</f>
        <v>18.61</v>
      </c>
      <c r="T14" s="11">
        <f>ROUND(T9*Assumptions!C34*Assumptions!C33/1024,2)</f>
        <v>20.32</v>
      </c>
      <c r="U14" s="11">
        <f>ROUND(U9*Assumptions!C34*Assumptions!C33/1024,2)</f>
        <v>22.2</v>
      </c>
      <c r="V14" s="11">
        <f>ROUND(V9*Assumptions!C34*Assumptions!C33/1024,2)</f>
        <v>24.24</v>
      </c>
      <c r="W14" s="11">
        <f>ROUND(W9*Assumptions!C34*Assumptions!C33/1024,2)</f>
        <v>26.49</v>
      </c>
      <c r="X14" s="11">
        <f>ROUND(X9*Assumptions!C34*Assumptions!C33/1024,2)</f>
        <v>28.98</v>
      </c>
      <c r="Y14" s="11">
        <f>ROUND(Y9*Assumptions!C34*Assumptions!C33/1024,2)</f>
        <v>31.67</v>
      </c>
      <c r="Z14" s="11">
        <f>ROUND(Z9*Assumptions!C34*Assumptions!C33/1024,2)</f>
        <v>34.61</v>
      </c>
    </row>
    <row r="15" spans="2:26" x14ac:dyDescent="0.55000000000000004">
      <c r="B15" s="12" t="s">
        <v>203</v>
      </c>
      <c r="C15" s="23">
        <f>C14</f>
        <v>4.6399999999999997</v>
      </c>
      <c r="D15" s="23">
        <f t="shared" ref="D15:Z15" si="2">C15+D14</f>
        <v>9.6999999999999993</v>
      </c>
      <c r="E15" s="23">
        <f t="shared" si="2"/>
        <v>15.209999999999999</v>
      </c>
      <c r="F15" s="23">
        <f t="shared" si="2"/>
        <v>21.2</v>
      </c>
      <c r="G15" s="23">
        <f t="shared" si="2"/>
        <v>27.73</v>
      </c>
      <c r="H15" s="23">
        <f t="shared" si="2"/>
        <v>34.86</v>
      </c>
      <c r="I15" s="23">
        <f t="shared" si="2"/>
        <v>42.62</v>
      </c>
      <c r="J15" s="23">
        <f t="shared" si="2"/>
        <v>51.099999999999994</v>
      </c>
      <c r="K15" s="23">
        <f t="shared" si="2"/>
        <v>60.359999999999992</v>
      </c>
      <c r="L15" s="23">
        <f t="shared" si="2"/>
        <v>70.489999999999995</v>
      </c>
      <c r="M15" s="23">
        <f t="shared" si="2"/>
        <v>81.52</v>
      </c>
      <c r="N15" s="23">
        <f t="shared" si="2"/>
        <v>93.539999999999992</v>
      </c>
      <c r="O15" s="23">
        <f t="shared" si="2"/>
        <v>106.63999999999999</v>
      </c>
      <c r="P15" s="23">
        <f t="shared" si="2"/>
        <v>120.89999999999999</v>
      </c>
      <c r="Q15" s="23">
        <f t="shared" si="2"/>
        <v>136.47999999999999</v>
      </c>
      <c r="R15" s="23">
        <f t="shared" si="2"/>
        <v>153.5</v>
      </c>
      <c r="S15" s="23">
        <f t="shared" si="2"/>
        <v>172.11</v>
      </c>
      <c r="T15" s="23">
        <f t="shared" si="2"/>
        <v>192.43</v>
      </c>
      <c r="U15" s="23">
        <f t="shared" si="2"/>
        <v>214.63</v>
      </c>
      <c r="V15" s="23">
        <f t="shared" si="2"/>
        <v>238.87</v>
      </c>
      <c r="W15" s="23">
        <f t="shared" si="2"/>
        <v>265.36</v>
      </c>
      <c r="X15" s="23">
        <f t="shared" si="2"/>
        <v>294.34000000000003</v>
      </c>
      <c r="Y15" s="23">
        <f t="shared" si="2"/>
        <v>326.01000000000005</v>
      </c>
      <c r="Z15" s="23">
        <f t="shared" si="2"/>
        <v>360.62000000000006</v>
      </c>
    </row>
    <row r="16" spans="2:26" x14ac:dyDescent="0.55000000000000004">
      <c r="B16" s="5" t="s">
        <v>204</v>
      </c>
      <c r="C16" s="24">
        <f>C15</f>
        <v>4.6399999999999997</v>
      </c>
      <c r="D16" s="24">
        <f t="shared" ref="D16:Z16" si="3">D15</f>
        <v>9.6999999999999993</v>
      </c>
      <c r="E16" s="24">
        <f t="shared" si="3"/>
        <v>15.209999999999999</v>
      </c>
      <c r="F16" s="24">
        <f t="shared" si="3"/>
        <v>21.2</v>
      </c>
      <c r="G16" s="24">
        <f t="shared" si="3"/>
        <v>27.73</v>
      </c>
      <c r="H16" s="24">
        <f t="shared" si="3"/>
        <v>34.86</v>
      </c>
      <c r="I16" s="24">
        <f t="shared" si="3"/>
        <v>42.62</v>
      </c>
      <c r="J16" s="24">
        <f t="shared" si="3"/>
        <v>51.099999999999994</v>
      </c>
      <c r="K16" s="24">
        <f t="shared" si="3"/>
        <v>60.359999999999992</v>
      </c>
      <c r="L16" s="24">
        <f t="shared" si="3"/>
        <v>70.489999999999995</v>
      </c>
      <c r="M16" s="24">
        <f t="shared" si="3"/>
        <v>81.52</v>
      </c>
      <c r="N16" s="24">
        <f t="shared" si="3"/>
        <v>93.539999999999992</v>
      </c>
      <c r="O16" s="24">
        <f t="shared" si="3"/>
        <v>106.63999999999999</v>
      </c>
      <c r="P16" s="24">
        <f t="shared" si="3"/>
        <v>120.89999999999999</v>
      </c>
      <c r="Q16" s="24">
        <f t="shared" si="3"/>
        <v>136.47999999999999</v>
      </c>
      <c r="R16" s="24">
        <f t="shared" si="3"/>
        <v>153.5</v>
      </c>
      <c r="S16" s="24">
        <f t="shared" si="3"/>
        <v>172.11</v>
      </c>
      <c r="T16" s="24">
        <f t="shared" si="3"/>
        <v>192.43</v>
      </c>
      <c r="U16" s="24">
        <f t="shared" si="3"/>
        <v>214.63</v>
      </c>
      <c r="V16" s="24">
        <f t="shared" si="3"/>
        <v>238.87</v>
      </c>
      <c r="W16" s="24">
        <f t="shared" si="3"/>
        <v>265.36</v>
      </c>
      <c r="X16" s="24">
        <f t="shared" si="3"/>
        <v>294.34000000000003</v>
      </c>
      <c r="Y16" s="24">
        <f t="shared" si="3"/>
        <v>326.01000000000005</v>
      </c>
      <c r="Z16" s="24">
        <f t="shared" si="3"/>
        <v>360.62000000000006</v>
      </c>
    </row>
    <row r="17" spans="2:26" x14ac:dyDescent="0.55000000000000004">
      <c r="B17" s="5" t="s">
        <v>205</v>
      </c>
      <c r="C17" s="24">
        <f t="shared" ref="C17:Z17" si="4">C15</f>
        <v>4.6399999999999997</v>
      </c>
      <c r="D17" s="24">
        <f t="shared" si="4"/>
        <v>9.6999999999999993</v>
      </c>
      <c r="E17" s="24">
        <f t="shared" si="4"/>
        <v>15.209999999999999</v>
      </c>
      <c r="F17" s="24">
        <f t="shared" si="4"/>
        <v>21.2</v>
      </c>
      <c r="G17" s="24">
        <f t="shared" si="4"/>
        <v>27.73</v>
      </c>
      <c r="H17" s="24">
        <f t="shared" si="4"/>
        <v>34.86</v>
      </c>
      <c r="I17" s="24">
        <f t="shared" si="4"/>
        <v>42.62</v>
      </c>
      <c r="J17" s="24">
        <f t="shared" si="4"/>
        <v>51.099999999999994</v>
      </c>
      <c r="K17" s="24">
        <f t="shared" si="4"/>
        <v>60.359999999999992</v>
      </c>
      <c r="L17" s="24">
        <f t="shared" si="4"/>
        <v>70.489999999999995</v>
      </c>
      <c r="M17" s="24">
        <f t="shared" si="4"/>
        <v>81.52</v>
      </c>
      <c r="N17" s="24">
        <f t="shared" si="4"/>
        <v>93.539999999999992</v>
      </c>
      <c r="O17" s="24">
        <f t="shared" si="4"/>
        <v>106.63999999999999</v>
      </c>
      <c r="P17" s="24">
        <f t="shared" si="4"/>
        <v>120.89999999999999</v>
      </c>
      <c r="Q17" s="24">
        <f t="shared" si="4"/>
        <v>136.47999999999999</v>
      </c>
      <c r="R17" s="24">
        <f t="shared" si="4"/>
        <v>153.5</v>
      </c>
      <c r="S17" s="24">
        <f t="shared" si="4"/>
        <v>172.11</v>
      </c>
      <c r="T17" s="24">
        <f t="shared" si="4"/>
        <v>192.43</v>
      </c>
      <c r="U17" s="24">
        <f t="shared" si="4"/>
        <v>214.63</v>
      </c>
      <c r="V17" s="24">
        <f t="shared" si="4"/>
        <v>238.87</v>
      </c>
      <c r="W17" s="24">
        <f t="shared" si="4"/>
        <v>265.36</v>
      </c>
      <c r="X17" s="24">
        <f t="shared" si="4"/>
        <v>294.34000000000003</v>
      </c>
      <c r="Y17" s="24">
        <f t="shared" si="4"/>
        <v>326.01000000000005</v>
      </c>
      <c r="Z17" s="24">
        <f t="shared" si="4"/>
        <v>360.62000000000006</v>
      </c>
    </row>
    <row r="19" spans="2:26" ht="16.8" x14ac:dyDescent="0.65">
      <c r="B19" s="3" t="s">
        <v>206</v>
      </c>
    </row>
    <row r="20" spans="2:26" x14ac:dyDescent="0.55000000000000004">
      <c r="B20" s="5" t="s">
        <v>207</v>
      </c>
      <c r="C20" s="19">
        <f>ROUND(C9*Assumptions!C38+MAX(0,C11-C9)*Assumptions!C39,0)</f>
        <v>1240</v>
      </c>
      <c r="D20" s="19">
        <f>ROUND((D9+C9)*Assumptions!C38+MAX(0,D11-(D9+C9))*Assumptions!C39,0)</f>
        <v>2592</v>
      </c>
      <c r="E20" s="19">
        <f>ROUND((E9+D9+C9)*Assumptions!C38+MAX(0,E11-(E9+D9+C9))*Assumptions!C39,0)</f>
        <v>4064</v>
      </c>
      <c r="F20" s="19">
        <f>ROUND((F9+E9+D9)*Assumptions!C38+MAX(0,F11-(F9+E9+D9))*Assumptions!C39,0)</f>
        <v>4522</v>
      </c>
      <c r="G20" s="19">
        <f>ROUND((G9+F9+E9)*Assumptions!C38+MAX(0,G11-(G9+F9+E9))*Assumptions!C39,0)</f>
        <v>5186</v>
      </c>
      <c r="H20" s="19">
        <f>ROUND((H9+G9+F9)*Assumptions!C38+MAX(0,H11-(H9+G9+F9))*Assumptions!C39,0)</f>
        <v>5914</v>
      </c>
      <c r="I20" s="19">
        <f>ROUND((I9+H9+G9)*Assumptions!C38+MAX(0,I11-(I9+H9+G9))*Assumptions!C39,0)</f>
        <v>6710</v>
      </c>
      <c r="J20" s="19">
        <f>ROUND((J9+I9+H9)*Assumptions!C38+MAX(0,J11-(J9+I9+H9))*Assumptions!C39,0)</f>
        <v>7580</v>
      </c>
      <c r="K20" s="19">
        <f>ROUND((K9+J9+I9)*Assumptions!C38+MAX(0,K11-(K9+J9+I9))*Assumptions!C39,0)</f>
        <v>8532</v>
      </c>
      <c r="L20" s="19">
        <f>ROUND((L9+K9+J9)*Assumptions!C38+MAX(0,L11-(L9+K9+J9))*Assumptions!C39,0)</f>
        <v>9580</v>
      </c>
      <c r="M20" s="19">
        <f>ROUND((M9+L9+K9)*Assumptions!C38+MAX(0,M11-(M9+L9+K9))*Assumptions!C39,0)</f>
        <v>10716</v>
      </c>
      <c r="N20" s="19">
        <f>ROUND((N9+M9+L9)*Assumptions!C38+MAX(0,N11-(N9+M9+L9))*Assumptions!C39,0)</f>
        <v>11950</v>
      </c>
      <c r="O20" s="19">
        <f>ROUND((O9+N9+M9)*Assumptions!C38+MAX(0,O11-(O9+N9+M9))*Assumptions!C39,0)</f>
        <v>13286</v>
      </c>
      <c r="P20" s="19">
        <f>ROUND((P9+O9+N9)*Assumptions!C38+MAX(0,P11-(P9+O9+N9))*Assumptions!C39,0)</f>
        <v>14744</v>
      </c>
      <c r="Q20" s="19">
        <f>ROUND((Q9+P9+O9)*Assumptions!C38+MAX(0,Q11-(Q9+P9+O9))*Assumptions!C39,0)</f>
        <v>16342</v>
      </c>
      <c r="R20" s="19">
        <f>ROUND((R9+Q9+P9)*Assumptions!C38+MAX(0,R11-(R9+Q9+P9))*Assumptions!C39,0)</f>
        <v>18094</v>
      </c>
      <c r="S20" s="19">
        <f>ROUND((S9+R9+Q9)*Assumptions!C38+MAX(0,S11-(S9+R9+Q9))*Assumptions!C39,0)</f>
        <v>20018</v>
      </c>
      <c r="T20" s="19">
        <f>ROUND((T9+S9+R9)*Assumptions!C38+MAX(0,T11-(T9+S9+R9))*Assumptions!C39,0)</f>
        <v>22120</v>
      </c>
      <c r="U20" s="19">
        <f>ROUND((U9+T9+S9)*Assumptions!C38+MAX(0,U11-(U9+T9+S9))*Assumptions!C39,0)</f>
        <v>24418</v>
      </c>
      <c r="V20" s="19">
        <f>ROUND((V9+U9+T9)*Assumptions!C38+MAX(0,V11-(V9+U9+T9))*Assumptions!C39,0)</f>
        <v>26920</v>
      </c>
      <c r="W20" s="19">
        <f>ROUND((W9+V9+U9)*Assumptions!C38+MAX(0,W11-(W9+V9+U9))*Assumptions!C39,0)</f>
        <v>29660</v>
      </c>
      <c r="X20" s="19">
        <f>ROUND((X9+W9+V9)*Assumptions!C38+MAX(0,X11-(X9+W9+V9))*Assumptions!C39,0)</f>
        <v>32660</v>
      </c>
      <c r="Y20" s="19">
        <f>ROUND((Y9+X9+W9)*Assumptions!C38+MAX(0,Y11-(Y9+X9+W9))*Assumptions!C39,0)</f>
        <v>35944</v>
      </c>
      <c r="Z20" s="19">
        <f>ROUND((Z9+Y9+X9)*Assumptions!C38+MAX(0,Z11-(Z9+Y9+X9))*Assumptions!C39,0)</f>
        <v>39534</v>
      </c>
    </row>
    <row r="21" spans="2:26" x14ac:dyDescent="0.55000000000000004">
      <c r="B21" s="5" t="s">
        <v>208</v>
      </c>
      <c r="C21" s="19">
        <f>ROUND(C20*Assumptions!C40,0)</f>
        <v>496</v>
      </c>
      <c r="D21" s="19">
        <f>ROUND(D20*Assumptions!C40,0)</f>
        <v>1037</v>
      </c>
      <c r="E21" s="19">
        <f>ROUND(E20*Assumptions!C40,0)</f>
        <v>1626</v>
      </c>
      <c r="F21" s="19">
        <f>ROUND(F20*Assumptions!C40,0)</f>
        <v>1809</v>
      </c>
      <c r="G21" s="19">
        <f>ROUND(G20*Assumptions!C40,0)</f>
        <v>2074</v>
      </c>
      <c r="H21" s="19">
        <f>ROUND(H20*Assumptions!C40,0)</f>
        <v>2366</v>
      </c>
      <c r="I21" s="19">
        <f>ROUND(I20*Assumptions!C40,0)</f>
        <v>2684</v>
      </c>
      <c r="J21" s="19">
        <f>ROUND(J20*Assumptions!C40,0)</f>
        <v>3032</v>
      </c>
      <c r="K21" s="19">
        <f>ROUND(K20*Assumptions!C40,0)</f>
        <v>3413</v>
      </c>
      <c r="L21" s="19">
        <f>ROUND(L20*Assumptions!C40,0)</f>
        <v>3832</v>
      </c>
      <c r="M21" s="19">
        <f>ROUND(M20*Assumptions!C40,0)</f>
        <v>4286</v>
      </c>
      <c r="N21" s="19">
        <f>ROUND(N20*Assumptions!C40,0)</f>
        <v>4780</v>
      </c>
      <c r="O21" s="19">
        <f>ROUND(O20*Assumptions!C40,0)</f>
        <v>5314</v>
      </c>
      <c r="P21" s="19">
        <f>ROUND(P20*Assumptions!C40,0)</f>
        <v>5898</v>
      </c>
      <c r="Q21" s="19">
        <f>ROUND(Q20*Assumptions!C40,0)</f>
        <v>6537</v>
      </c>
      <c r="R21" s="19">
        <f>ROUND(R20*Assumptions!C40,0)</f>
        <v>7238</v>
      </c>
      <c r="S21" s="19">
        <f>ROUND(S20*Assumptions!C40,0)</f>
        <v>8007</v>
      </c>
      <c r="T21" s="19">
        <f>ROUND(T20*Assumptions!C40,0)</f>
        <v>8848</v>
      </c>
      <c r="U21" s="19">
        <f>ROUND(U20*Assumptions!C40,0)</f>
        <v>9767</v>
      </c>
      <c r="V21" s="19">
        <f>ROUND(V20*Assumptions!C40,0)</f>
        <v>10768</v>
      </c>
      <c r="W21" s="19">
        <f>ROUND(W20*Assumptions!C40,0)</f>
        <v>11864</v>
      </c>
      <c r="X21" s="19">
        <f>ROUND(X20*Assumptions!C40,0)</f>
        <v>13064</v>
      </c>
      <c r="Y21" s="19">
        <f>ROUND(Y20*Assumptions!C40,0)</f>
        <v>14378</v>
      </c>
      <c r="Z21" s="19">
        <f>ROUND(Z20*Assumptions!C40,0)</f>
        <v>15814</v>
      </c>
    </row>
    <row r="22" spans="2:26" x14ac:dyDescent="0.55000000000000004">
      <c r="B22" s="12" t="s">
        <v>209</v>
      </c>
      <c r="C22" s="25">
        <f>ROUND((C9*Assumptions!C34*Assumptions!C41)+C20+C21+(C20*0.02),0)</f>
        <v>2420</v>
      </c>
      <c r="D22" s="25">
        <f>ROUND((D9*Assumptions!C34*Assumptions!C41)+D20+D21+(D20*0.02),0)</f>
        <v>4399</v>
      </c>
      <c r="E22" s="25">
        <f>ROUND((E9*Assumptions!C34*Assumptions!C41)+E20+E21+(E20*0.02),0)</f>
        <v>6553</v>
      </c>
      <c r="F22" s="25">
        <f>ROUND((F9*Assumptions!C34*Assumptions!C41)+F20+F21+(F20*0.02),0)</f>
        <v>7271</v>
      </c>
      <c r="G22" s="25">
        <f>ROUND((G9*Assumptions!C34*Assumptions!C41)+G20+G21+(G20*0.02),0)</f>
        <v>8290</v>
      </c>
      <c r="H22" s="25">
        <f>ROUND((H9*Assumptions!C34*Assumptions!C41)+H20+H21+(H20*0.02),0)</f>
        <v>9410</v>
      </c>
      <c r="I22" s="25">
        <f>ROUND((I9*Assumptions!C34*Assumptions!C41)+I20+I21+(I20*0.02),0)</f>
        <v>10629</v>
      </c>
      <c r="J22" s="25">
        <f>ROUND((J9*Assumptions!C34*Assumptions!C41)+J20+J21+(J20*0.02),0)</f>
        <v>11966</v>
      </c>
      <c r="K22" s="25">
        <f>ROUND((K9*Assumptions!C34*Assumptions!C41)+K20+K21+(K20*0.02),0)</f>
        <v>13429</v>
      </c>
      <c r="L22" s="25">
        <f>ROUND((L9*Assumptions!C34*Assumptions!C41)+L20+L21+(L20*0.02),0)</f>
        <v>15040</v>
      </c>
      <c r="M22" s="25">
        <f>ROUND((M9*Assumptions!C34*Assumptions!C41)+M20+M21+(M20*0.02),0)</f>
        <v>16780</v>
      </c>
      <c r="N22" s="25">
        <f>ROUND((N9*Assumptions!C34*Assumptions!C41)+N20+N21+(N20*0.02),0)</f>
        <v>18673</v>
      </c>
      <c r="O22" s="25">
        <f>ROUND((O9*Assumptions!C34*Assumptions!C41)+O20+O21+(O20*0.02),0)</f>
        <v>20723</v>
      </c>
      <c r="P22" s="25">
        <f>ROUND((P9*Assumptions!C34*Assumptions!C41)+P20+P21+(P20*0.02),0)</f>
        <v>22960</v>
      </c>
      <c r="Q22" s="25">
        <f>ROUND((Q9*Assumptions!C34*Assumptions!C41)+Q20+Q21+(Q20*0.02),0)</f>
        <v>25416</v>
      </c>
      <c r="R22" s="25">
        <f>ROUND((R9*Assumptions!C34*Assumptions!C41)+R20+R21+(R20*0.02),0)</f>
        <v>28108</v>
      </c>
      <c r="S22" s="25">
        <f>ROUND((S9*Assumptions!C34*Assumptions!C41)+S20+S21+(S20*0.02),0)</f>
        <v>31065</v>
      </c>
      <c r="T22" s="25">
        <f>ROUND((T9*Assumptions!C34*Assumptions!C41)+T20+T21+(T20*0.02),0)</f>
        <v>34292</v>
      </c>
      <c r="U22" s="25">
        <f>ROUND((U9*Assumptions!C34*Assumptions!C41)+U20+U21+(U20*0.02),0)</f>
        <v>37823</v>
      </c>
      <c r="V22" s="25">
        <f>ROUND((V9*Assumptions!C34*Assumptions!C41)+V20+V21+(V20*0.02),0)</f>
        <v>41665</v>
      </c>
      <c r="W22" s="25">
        <f>ROUND((W9*Assumptions!C34*Assumptions!C41)+W20+W21+(W20*0.02),0)</f>
        <v>45874</v>
      </c>
      <c r="X22" s="25">
        <f>ROUND((X9*Assumptions!C34*Assumptions!C41)+X20+X21+(X20*0.02),0)</f>
        <v>50487</v>
      </c>
      <c r="Y22" s="25">
        <f>ROUND((Y9*Assumptions!C34*Assumptions!C41)+Y20+Y21+(Y20*0.02),0)</f>
        <v>55533</v>
      </c>
      <c r="Z22" s="25">
        <f>ROUND((Z9*Assumptions!C34*Assumptions!C41)+Z20+Z21+(Z20*0.02),0)</f>
        <v>61047</v>
      </c>
    </row>
    <row r="23" spans="2:26" x14ac:dyDescent="0.55000000000000004">
      <c r="B23" s="5" t="s">
        <v>210</v>
      </c>
      <c r="C23" s="19">
        <f>ROUND(C9*Assumptions!C34*2*(1+Assumptions!C35),0)</f>
        <v>316</v>
      </c>
      <c r="D23" s="19">
        <f>ROUND(D9*Assumptions!C34*2*(1+Assumptions!C35),0)</f>
        <v>345</v>
      </c>
      <c r="E23" s="19">
        <f>ROUND(E9*Assumptions!C34*2*(1+Assumptions!C35),0)</f>
        <v>375</v>
      </c>
      <c r="F23" s="19">
        <f>ROUND(F9*Assumptions!C34*2*(1+Assumptions!C35),0)</f>
        <v>408</v>
      </c>
      <c r="G23" s="19">
        <f>ROUND(G9*Assumptions!C34*2*(1+Assumptions!C35),0)</f>
        <v>445</v>
      </c>
      <c r="H23" s="19">
        <f>ROUND(H9*Assumptions!C34*2*(1+Assumptions!C35),0)</f>
        <v>486</v>
      </c>
      <c r="I23" s="19">
        <f>ROUND(I9*Assumptions!C34*2*(1+Assumptions!C35),0)</f>
        <v>528</v>
      </c>
      <c r="J23" s="19">
        <f>ROUND(J9*Assumptions!C34*2*(1+Assumptions!C35),0)</f>
        <v>577</v>
      </c>
      <c r="K23" s="19">
        <f>ROUND(K9*Assumptions!C34*2*(1+Assumptions!C35),0)</f>
        <v>630</v>
      </c>
      <c r="L23" s="19">
        <f>ROUND(L9*Assumptions!C34*2*(1+Assumptions!C35),0)</f>
        <v>690</v>
      </c>
      <c r="M23" s="19">
        <f>ROUND(M9*Assumptions!C34*2*(1+Assumptions!C35),0)</f>
        <v>751</v>
      </c>
      <c r="N23" s="19">
        <f>ROUND(N9*Assumptions!C34*2*(1+Assumptions!C35),0)</f>
        <v>818</v>
      </c>
      <c r="O23" s="19">
        <f>ROUND(O9*Assumptions!C34*2*(1+Assumptions!C35),0)</f>
        <v>891</v>
      </c>
      <c r="P23" s="19">
        <f>ROUND(P9*Assumptions!C34*2*(1+Assumptions!C35),0)</f>
        <v>971</v>
      </c>
      <c r="Q23" s="19">
        <f>ROUND(Q9*Assumptions!C34*2*(1+Assumptions!C35),0)</f>
        <v>1061</v>
      </c>
      <c r="R23" s="19">
        <f>ROUND(R9*Assumptions!C34*2*(1+Assumptions!C35),0)</f>
        <v>1159</v>
      </c>
      <c r="S23" s="19">
        <f>ROUND(S9*Assumptions!C34*2*(1+Assumptions!C35),0)</f>
        <v>1267</v>
      </c>
      <c r="T23" s="19">
        <f>ROUND(T9*Assumptions!C34*2*(1+Assumptions!C35),0)</f>
        <v>1383</v>
      </c>
      <c r="U23" s="19">
        <f>ROUND(U9*Assumptions!C34*2*(1+Assumptions!C35),0)</f>
        <v>1512</v>
      </c>
      <c r="V23" s="19">
        <f>ROUND(V9*Assumptions!C34*2*(1+Assumptions!C35),0)</f>
        <v>1650</v>
      </c>
      <c r="W23" s="19">
        <f>ROUND(W9*Assumptions!C34*2*(1+Assumptions!C35),0)</f>
        <v>1803</v>
      </c>
      <c r="X23" s="19">
        <f>ROUND(X9*Assumptions!C34*2*(1+Assumptions!C35),0)</f>
        <v>1973</v>
      </c>
      <c r="Y23" s="19">
        <f>ROUND(Y9*Assumptions!C34*2*(1+Assumptions!C35),0)</f>
        <v>2156</v>
      </c>
      <c r="Z23" s="19">
        <f>ROUND(Z9*Assumptions!C34*2*(1+Assumptions!C35),0)</f>
        <v>2356</v>
      </c>
    </row>
    <row r="24" spans="2:26" x14ac:dyDescent="0.55000000000000004">
      <c r="B24" s="5" t="s">
        <v>211</v>
      </c>
      <c r="C24" s="19">
        <f t="shared" ref="C24:Z24" si="5">C20</f>
        <v>1240</v>
      </c>
      <c r="D24" s="19">
        <f t="shared" si="5"/>
        <v>2592</v>
      </c>
      <c r="E24" s="19">
        <f t="shared" si="5"/>
        <v>4064</v>
      </c>
      <c r="F24" s="19">
        <f t="shared" si="5"/>
        <v>4522</v>
      </c>
      <c r="G24" s="19">
        <f t="shared" si="5"/>
        <v>5186</v>
      </c>
      <c r="H24" s="19">
        <f t="shared" si="5"/>
        <v>5914</v>
      </c>
      <c r="I24" s="19">
        <f t="shared" si="5"/>
        <v>6710</v>
      </c>
      <c r="J24" s="19">
        <f t="shared" si="5"/>
        <v>7580</v>
      </c>
      <c r="K24" s="19">
        <f t="shared" si="5"/>
        <v>8532</v>
      </c>
      <c r="L24" s="19">
        <f t="shared" si="5"/>
        <v>9580</v>
      </c>
      <c r="M24" s="19">
        <f t="shared" si="5"/>
        <v>10716</v>
      </c>
      <c r="N24" s="19">
        <f t="shared" si="5"/>
        <v>11950</v>
      </c>
      <c r="O24" s="19">
        <f t="shared" si="5"/>
        <v>13286</v>
      </c>
      <c r="P24" s="19">
        <f t="shared" si="5"/>
        <v>14744</v>
      </c>
      <c r="Q24" s="19">
        <f t="shared" si="5"/>
        <v>16342</v>
      </c>
      <c r="R24" s="19">
        <f t="shared" si="5"/>
        <v>18094</v>
      </c>
      <c r="S24" s="19">
        <f t="shared" si="5"/>
        <v>20018</v>
      </c>
      <c r="T24" s="19">
        <f t="shared" si="5"/>
        <v>22120</v>
      </c>
      <c r="U24" s="19">
        <f t="shared" si="5"/>
        <v>24418</v>
      </c>
      <c r="V24" s="19">
        <f t="shared" si="5"/>
        <v>26920</v>
      </c>
      <c r="W24" s="19">
        <f t="shared" si="5"/>
        <v>29660</v>
      </c>
      <c r="X24" s="19">
        <f t="shared" si="5"/>
        <v>32660</v>
      </c>
      <c r="Y24" s="19">
        <f t="shared" si="5"/>
        <v>35944</v>
      </c>
      <c r="Z24" s="19">
        <f t="shared" si="5"/>
        <v>39534</v>
      </c>
    </row>
    <row r="25" spans="2:26" x14ac:dyDescent="0.55000000000000004">
      <c r="B25" s="5" t="s">
        <v>212</v>
      </c>
      <c r="C25" s="19">
        <f t="shared" ref="C25:Z25" si="6">C23</f>
        <v>316</v>
      </c>
      <c r="D25" s="19">
        <f t="shared" si="6"/>
        <v>345</v>
      </c>
      <c r="E25" s="19">
        <f t="shared" si="6"/>
        <v>375</v>
      </c>
      <c r="F25" s="19">
        <f t="shared" si="6"/>
        <v>408</v>
      </c>
      <c r="G25" s="19">
        <f t="shared" si="6"/>
        <v>445</v>
      </c>
      <c r="H25" s="19">
        <f t="shared" si="6"/>
        <v>486</v>
      </c>
      <c r="I25" s="19">
        <f t="shared" si="6"/>
        <v>528</v>
      </c>
      <c r="J25" s="19">
        <f t="shared" si="6"/>
        <v>577</v>
      </c>
      <c r="K25" s="19">
        <f t="shared" si="6"/>
        <v>630</v>
      </c>
      <c r="L25" s="19">
        <f t="shared" si="6"/>
        <v>690</v>
      </c>
      <c r="M25" s="19">
        <f t="shared" si="6"/>
        <v>751</v>
      </c>
      <c r="N25" s="19">
        <f t="shared" si="6"/>
        <v>818</v>
      </c>
      <c r="O25" s="19">
        <f t="shared" si="6"/>
        <v>891</v>
      </c>
      <c r="P25" s="19">
        <f t="shared" si="6"/>
        <v>971</v>
      </c>
      <c r="Q25" s="19">
        <f t="shared" si="6"/>
        <v>1061</v>
      </c>
      <c r="R25" s="19">
        <f t="shared" si="6"/>
        <v>1159</v>
      </c>
      <c r="S25" s="19">
        <f t="shared" si="6"/>
        <v>1267</v>
      </c>
      <c r="T25" s="19">
        <f t="shared" si="6"/>
        <v>1383</v>
      </c>
      <c r="U25" s="19">
        <f t="shared" si="6"/>
        <v>1512</v>
      </c>
      <c r="V25" s="19">
        <f t="shared" si="6"/>
        <v>1650</v>
      </c>
      <c r="W25" s="19">
        <f t="shared" si="6"/>
        <v>1803</v>
      </c>
      <c r="X25" s="19">
        <f t="shared" si="6"/>
        <v>1973</v>
      </c>
      <c r="Y25" s="19">
        <f t="shared" si="6"/>
        <v>2156</v>
      </c>
      <c r="Z25" s="19">
        <f t="shared" si="6"/>
        <v>2356</v>
      </c>
    </row>
    <row r="26" spans="2:26" x14ac:dyDescent="0.55000000000000004">
      <c r="B26" s="5" t="s">
        <v>213</v>
      </c>
      <c r="C26" s="19">
        <f t="shared" ref="C26:Z26" si="7">ROUND(C20*0.02,0)</f>
        <v>25</v>
      </c>
      <c r="D26" s="19">
        <f t="shared" si="7"/>
        <v>52</v>
      </c>
      <c r="E26" s="19">
        <f t="shared" si="7"/>
        <v>81</v>
      </c>
      <c r="F26" s="19">
        <f t="shared" si="7"/>
        <v>90</v>
      </c>
      <c r="G26" s="19">
        <f t="shared" si="7"/>
        <v>104</v>
      </c>
      <c r="H26" s="19">
        <f t="shared" si="7"/>
        <v>118</v>
      </c>
      <c r="I26" s="19">
        <f t="shared" si="7"/>
        <v>134</v>
      </c>
      <c r="J26" s="19">
        <f t="shared" si="7"/>
        <v>152</v>
      </c>
      <c r="K26" s="19">
        <f t="shared" si="7"/>
        <v>171</v>
      </c>
      <c r="L26" s="19">
        <f t="shared" si="7"/>
        <v>192</v>
      </c>
      <c r="M26" s="19">
        <f t="shared" si="7"/>
        <v>214</v>
      </c>
      <c r="N26" s="19">
        <f t="shared" si="7"/>
        <v>239</v>
      </c>
      <c r="O26" s="19">
        <f t="shared" si="7"/>
        <v>266</v>
      </c>
      <c r="P26" s="19">
        <f t="shared" si="7"/>
        <v>295</v>
      </c>
      <c r="Q26" s="19">
        <f t="shared" si="7"/>
        <v>327</v>
      </c>
      <c r="R26" s="19">
        <f t="shared" si="7"/>
        <v>362</v>
      </c>
      <c r="S26" s="19">
        <f t="shared" si="7"/>
        <v>400</v>
      </c>
      <c r="T26" s="19">
        <f t="shared" si="7"/>
        <v>442</v>
      </c>
      <c r="U26" s="19">
        <f t="shared" si="7"/>
        <v>488</v>
      </c>
      <c r="V26" s="19">
        <f t="shared" si="7"/>
        <v>538</v>
      </c>
      <c r="W26" s="19">
        <f t="shared" si="7"/>
        <v>593</v>
      </c>
      <c r="X26" s="19">
        <f t="shared" si="7"/>
        <v>653</v>
      </c>
      <c r="Y26" s="19">
        <f t="shared" si="7"/>
        <v>719</v>
      </c>
      <c r="Z26" s="19">
        <f t="shared" si="7"/>
        <v>791</v>
      </c>
    </row>
    <row r="27" spans="2:26" x14ac:dyDescent="0.55000000000000004">
      <c r="B27" s="12" t="s">
        <v>214</v>
      </c>
      <c r="C27" s="25">
        <f>ROUND(C9*Assumptions!C34*Assumptions!C42+C20*Assumptions!C43+C21*2,0)</f>
        <v>5766</v>
      </c>
      <c r="D27" s="25">
        <f>ROUND(D9*Assumptions!C34*Assumptions!C42+D20*Assumptions!C43+D21*2,0)</f>
        <v>10999</v>
      </c>
      <c r="E27" s="25">
        <f>ROUND(E9*Assumptions!C34*Assumptions!C42+E20*Assumptions!C43+E21*2,0)</f>
        <v>16695</v>
      </c>
      <c r="F27" s="25">
        <f>ROUND(F9*Assumptions!C34*Assumptions!C42+F20*Assumptions!C43+F21*2,0)</f>
        <v>18544</v>
      </c>
      <c r="G27" s="25">
        <f>ROUND(G9*Assumptions!C34*Assumptions!C42+G20*Assumptions!C43+G21*2,0)</f>
        <v>21188</v>
      </c>
      <c r="H27" s="25">
        <f>ROUND(H9*Assumptions!C34*Assumptions!C42+H20*Assumptions!C43+H21*2,0)</f>
        <v>24092</v>
      </c>
      <c r="I27" s="25">
        <f>ROUND(I9*Assumptions!C34*Assumptions!C42+I20*Assumptions!C43+I21*2,0)</f>
        <v>27259</v>
      </c>
      <c r="J27" s="25">
        <f>ROUND(J9*Assumptions!C34*Assumptions!C42+J20*Assumptions!C43+J21*2,0)</f>
        <v>30728</v>
      </c>
      <c r="K27" s="25">
        <f>ROUND(K9*Assumptions!C34*Assumptions!C42+K20*Assumptions!C43+K21*2,0)</f>
        <v>34523</v>
      </c>
      <c r="L27" s="25">
        <f>ROUND(L9*Assumptions!C34*Assumptions!C42+L20*Assumptions!C43+L21*2,0)</f>
        <v>38702</v>
      </c>
      <c r="M27" s="25">
        <f>ROUND(M9*Assumptions!C34*Assumptions!C42+M20*Assumptions!C43+M21*2,0)</f>
        <v>43222</v>
      </c>
      <c r="N27" s="25">
        <f>ROUND(N9*Assumptions!C34*Assumptions!C42+N20*Assumptions!C43+N21*2,0)</f>
        <v>48137</v>
      </c>
      <c r="O27" s="25">
        <f>ROUND(O9*Assumptions!C34*Assumptions!C42+O20*Assumptions!C43+O21*2,0)</f>
        <v>53458</v>
      </c>
      <c r="P27" s="25">
        <f>ROUND(P9*Assumptions!C34*Assumptions!C42+P20*Assumptions!C43+P21*2,0)</f>
        <v>59265</v>
      </c>
      <c r="Q27" s="25">
        <f>ROUND(Q9*Assumptions!C34*Assumptions!C42+Q20*Assumptions!C43+Q21*2,0)</f>
        <v>65636</v>
      </c>
      <c r="R27" s="25">
        <f>ROUND(R9*Assumptions!C34*Assumptions!C42+R20*Assumptions!C43+R21*2,0)</f>
        <v>72620</v>
      </c>
      <c r="S27" s="25">
        <f>ROUND(S9*Assumptions!C34*Assumptions!C42+S20*Assumptions!C43+S21*2,0)</f>
        <v>80291</v>
      </c>
      <c r="T27" s="25">
        <f>ROUND(T9*Assumptions!C34*Assumptions!C42+T20*Assumptions!C43+T21*2,0)</f>
        <v>88666</v>
      </c>
      <c r="U27" s="25">
        <f>ROUND(U9*Assumptions!C34*Assumptions!C42+U20*Assumptions!C43+U21*2,0)</f>
        <v>97827</v>
      </c>
      <c r="V27" s="25">
        <f>ROUND(V9*Assumptions!C34*Assumptions!C42+V20*Assumptions!C43+V21*2,0)</f>
        <v>107797</v>
      </c>
      <c r="W27" s="25">
        <f>ROUND(W9*Assumptions!C34*Assumptions!C42+W20*Assumptions!C43+W21*2,0)</f>
        <v>118719</v>
      </c>
      <c r="X27" s="25">
        <f>ROUND(X9*Assumptions!C34*Assumptions!C42+X20*Assumptions!C43+X21*2,0)</f>
        <v>130684</v>
      </c>
      <c r="Y27" s="25">
        <f>ROUND(Y9*Assumptions!C34*Assumptions!C42+Y20*Assumptions!C43+Y21*2,0)</f>
        <v>143776</v>
      </c>
      <c r="Z27" s="25">
        <f>ROUND(Z9*Assumptions!C34*Assumptions!C42+Z20*Assumptions!C43+Z21*2,0)</f>
        <v>158084</v>
      </c>
    </row>
    <row r="28" spans="2:26" x14ac:dyDescent="0.55000000000000004">
      <c r="B28" s="5" t="s">
        <v>215</v>
      </c>
      <c r="C28" s="24">
        <f>ROUND(C20*Assumptions!C33/1024,1)</f>
        <v>43.7</v>
      </c>
      <c r="D28" s="24">
        <f>ROUND(D20*Assumptions!C33/1024,1)</f>
        <v>91.4</v>
      </c>
      <c r="E28" s="24">
        <f>ROUND(E20*Assumptions!C33/1024,1)</f>
        <v>143.30000000000001</v>
      </c>
      <c r="F28" s="24">
        <f>ROUND(F20*Assumptions!C33/1024,1)</f>
        <v>159.4</v>
      </c>
      <c r="G28" s="24">
        <f>ROUND(G20*Assumptions!C33/1024,1)</f>
        <v>182.8</v>
      </c>
      <c r="H28" s="24">
        <f>ROUND(H20*Assumptions!C33/1024,1)</f>
        <v>208.5</v>
      </c>
      <c r="I28" s="24">
        <f>ROUND(I20*Assumptions!C33/1024,1)</f>
        <v>236.6</v>
      </c>
      <c r="J28" s="24">
        <f>ROUND(J20*Assumptions!C33/1024,1)</f>
        <v>267.2</v>
      </c>
      <c r="K28" s="24">
        <f>ROUND(K20*Assumptions!C33/1024,1)</f>
        <v>300.8</v>
      </c>
      <c r="L28" s="24">
        <f>ROUND(L20*Assumptions!C33/1024,1)</f>
        <v>337.7</v>
      </c>
      <c r="M28" s="24">
        <f>ROUND(M20*Assumptions!C33/1024,1)</f>
        <v>377.8</v>
      </c>
      <c r="N28" s="24">
        <f>ROUND(N20*Assumptions!C33/1024,1)</f>
        <v>421.3</v>
      </c>
      <c r="O28" s="24">
        <f>ROUND(O20*Assumptions!C33/1024,1)</f>
        <v>468.4</v>
      </c>
      <c r="P28" s="24">
        <f>ROUND(P20*Assumptions!C33/1024,1)</f>
        <v>519.79999999999995</v>
      </c>
      <c r="Q28" s="24">
        <f>ROUND(Q20*Assumptions!C33/1024,1)</f>
        <v>576.1</v>
      </c>
      <c r="R28" s="24">
        <f>ROUND(R20*Assumptions!C33/1024,1)</f>
        <v>637.9</v>
      </c>
      <c r="S28" s="24">
        <f>ROUND(S20*Assumptions!C33/1024,1)</f>
        <v>705.7</v>
      </c>
      <c r="T28" s="24">
        <f>ROUND(T20*Assumptions!C33/1024,1)</f>
        <v>779.8</v>
      </c>
      <c r="U28" s="24">
        <f>ROUND(U20*Assumptions!C33/1024,1)</f>
        <v>860.8</v>
      </c>
      <c r="V28" s="24">
        <f>ROUND(V20*Assumptions!C33/1024,1)</f>
        <v>949</v>
      </c>
      <c r="W28" s="24">
        <f>ROUND(W20*Assumptions!C33/1024,1)</f>
        <v>1045.5999999999999</v>
      </c>
      <c r="X28" s="24">
        <f>ROUND(X20*Assumptions!C33/1024,1)</f>
        <v>1151.4000000000001</v>
      </c>
      <c r="Y28" s="24">
        <f>ROUND(Y20*Assumptions!C33/1024,1)</f>
        <v>1267.2</v>
      </c>
      <c r="Z28" s="24">
        <f>ROUND(Z20*Assumptions!C33/1024,1)</f>
        <v>1393.7</v>
      </c>
    </row>
    <row r="30" spans="2:26" ht="16.8" x14ac:dyDescent="0.65">
      <c r="B30" s="3" t="s">
        <v>216</v>
      </c>
    </row>
    <row r="31" spans="2:26" x14ac:dyDescent="0.55000000000000004">
      <c r="B31" s="5" t="s">
        <v>217</v>
      </c>
      <c r="C31" s="26">
        <f>C17*Assumptions!C47</f>
        <v>4.6399999999999997E-2</v>
      </c>
      <c r="D31" s="26">
        <f>D17*Assumptions!C47</f>
        <v>9.6999999999999989E-2</v>
      </c>
      <c r="E31" s="26">
        <f>E17*Assumptions!C47</f>
        <v>0.15209999999999999</v>
      </c>
      <c r="F31" s="26">
        <f>F17*Assumptions!C47</f>
        <v>0.21199999999999999</v>
      </c>
      <c r="G31" s="26">
        <f>G17*Assumptions!C47</f>
        <v>0.27729999999999999</v>
      </c>
      <c r="H31" s="26">
        <f>H17*Assumptions!C47</f>
        <v>0.34860000000000002</v>
      </c>
      <c r="I31" s="26">
        <f>I17*Assumptions!C47</f>
        <v>0.42619999999999997</v>
      </c>
      <c r="J31" s="26">
        <f>J17*Assumptions!C47</f>
        <v>0.5109999999999999</v>
      </c>
      <c r="K31" s="26">
        <f>K17*Assumptions!C47</f>
        <v>0.60359999999999991</v>
      </c>
      <c r="L31" s="26">
        <f>L17*Assumptions!C47</f>
        <v>0.70489999999999997</v>
      </c>
      <c r="M31" s="26">
        <f>M17*Assumptions!C47</f>
        <v>0.81519999999999992</v>
      </c>
      <c r="N31" s="26">
        <f>N17*Assumptions!C47</f>
        <v>0.9353999999999999</v>
      </c>
      <c r="O31" s="26">
        <f>O17*Assumptions!C47</f>
        <v>1.0663999999999998</v>
      </c>
      <c r="P31" s="26">
        <f>P17*Assumptions!C47</f>
        <v>1.2089999999999999</v>
      </c>
      <c r="Q31" s="26">
        <f>Q17*Assumptions!C47</f>
        <v>1.3648</v>
      </c>
      <c r="R31" s="26">
        <f>R17*Assumptions!C47</f>
        <v>1.5350000000000001</v>
      </c>
      <c r="S31" s="26">
        <f>S17*Assumptions!C47</f>
        <v>1.7211000000000001</v>
      </c>
      <c r="T31" s="26">
        <f>T17*Assumptions!C47</f>
        <v>1.9243000000000001</v>
      </c>
      <c r="U31" s="26">
        <f>U17*Assumptions!C47</f>
        <v>2.1463000000000001</v>
      </c>
      <c r="V31" s="26">
        <f>V17*Assumptions!C47</f>
        <v>2.3887</v>
      </c>
      <c r="W31" s="26">
        <f>W17*Assumptions!C47</f>
        <v>2.6536000000000004</v>
      </c>
      <c r="X31" s="26">
        <f>X17*Assumptions!C47</f>
        <v>2.9434000000000005</v>
      </c>
      <c r="Y31" s="26">
        <f>Y17*Assumptions!C47</f>
        <v>3.2601000000000004</v>
      </c>
      <c r="Z31" s="26">
        <f>Z17*Assumptions!C47</f>
        <v>3.6062000000000007</v>
      </c>
    </row>
    <row r="32" spans="2:26" x14ac:dyDescent="0.55000000000000004">
      <c r="B32" s="5" t="s">
        <v>218</v>
      </c>
      <c r="C32" s="26">
        <f>(C25/10000)*Assumptions!C48</f>
        <v>3.1600000000000005E-3</v>
      </c>
      <c r="D32" s="26">
        <f>(D25/10000)*Assumptions!C48</f>
        <v>3.4500000000000004E-3</v>
      </c>
      <c r="E32" s="26">
        <f>(E25/10000)*Assumptions!C48</f>
        <v>3.7499999999999999E-3</v>
      </c>
      <c r="F32" s="26">
        <f>(F25/10000)*Assumptions!C48</f>
        <v>4.0800000000000003E-3</v>
      </c>
      <c r="G32" s="26">
        <f>(G25/10000)*Assumptions!C48</f>
        <v>4.45E-3</v>
      </c>
      <c r="H32" s="26">
        <f>(H25/10000)*Assumptions!C48</f>
        <v>4.8599999999999997E-3</v>
      </c>
      <c r="I32" s="26">
        <f>(I25/10000)*Assumptions!C48</f>
        <v>5.28E-3</v>
      </c>
      <c r="J32" s="26">
        <f>(J25/10000)*Assumptions!C48</f>
        <v>5.7700000000000008E-3</v>
      </c>
      <c r="K32" s="26">
        <f>(K25/10000)*Assumptions!C48</f>
        <v>6.3E-3</v>
      </c>
      <c r="L32" s="26">
        <f>(L25/10000)*Assumptions!C48</f>
        <v>6.9000000000000008E-3</v>
      </c>
      <c r="M32" s="26">
        <f>(M25/10000)*Assumptions!C48</f>
        <v>7.5100000000000002E-3</v>
      </c>
      <c r="N32" s="26">
        <f>(N25/10000)*Assumptions!C48</f>
        <v>8.1799999999999998E-3</v>
      </c>
      <c r="O32" s="26">
        <f>(O25/10000)*Assumptions!C48</f>
        <v>8.9099999999999995E-3</v>
      </c>
      <c r="P32" s="26">
        <f>(P25/10000)*Assumptions!C48</f>
        <v>9.7100000000000016E-3</v>
      </c>
      <c r="Q32" s="26">
        <f>(Q25/10000)*Assumptions!C48</f>
        <v>1.0610000000000001E-2</v>
      </c>
      <c r="R32" s="26">
        <f>(R25/10000)*Assumptions!C48</f>
        <v>1.1590000000000001E-2</v>
      </c>
      <c r="S32" s="26">
        <f>(S25/10000)*Assumptions!C48</f>
        <v>1.2670000000000001E-2</v>
      </c>
      <c r="T32" s="26">
        <f>(T25/10000)*Assumptions!C48</f>
        <v>1.3830000000000002E-2</v>
      </c>
      <c r="U32" s="26">
        <f>(U25/10000)*Assumptions!C48</f>
        <v>1.5120000000000001E-2</v>
      </c>
      <c r="V32" s="26">
        <f>(V25/10000)*Assumptions!C48</f>
        <v>1.6500000000000001E-2</v>
      </c>
      <c r="W32" s="26">
        <f>(W25/10000)*Assumptions!C48</f>
        <v>1.8030000000000001E-2</v>
      </c>
      <c r="X32" s="26">
        <f>(X25/10000)*Assumptions!C48</f>
        <v>1.9730000000000001E-2</v>
      </c>
      <c r="Y32" s="26">
        <f>(Y25/10000)*Assumptions!C48</f>
        <v>2.1560000000000003E-2</v>
      </c>
      <c r="Z32" s="26">
        <f>(Z25/10000)*Assumptions!C48</f>
        <v>2.3560000000000001E-2</v>
      </c>
    </row>
    <row r="33" spans="2:26" x14ac:dyDescent="0.55000000000000004">
      <c r="B33" s="5" t="s">
        <v>219</v>
      </c>
      <c r="C33" s="26">
        <f>(C26/10000)*Assumptions!C49</f>
        <v>2.5000000000000001E-5</v>
      </c>
      <c r="D33" s="26">
        <f>(D26/10000)*Assumptions!C49</f>
        <v>5.1999999999999997E-5</v>
      </c>
      <c r="E33" s="26">
        <f>(E26/10000)*Assumptions!C49</f>
        <v>8.1000000000000004E-5</v>
      </c>
      <c r="F33" s="26">
        <f>(F26/10000)*Assumptions!C49</f>
        <v>8.9999999999999992E-5</v>
      </c>
      <c r="G33" s="26">
        <f>(G26/10000)*Assumptions!C49</f>
        <v>1.0399999999999999E-4</v>
      </c>
      <c r="H33" s="26">
        <f>(H26/10000)*Assumptions!C49</f>
        <v>1.18E-4</v>
      </c>
      <c r="I33" s="26">
        <f>(I26/10000)*Assumptions!C49</f>
        <v>1.34E-4</v>
      </c>
      <c r="J33" s="26">
        <f>(J26/10000)*Assumptions!C49</f>
        <v>1.5200000000000001E-4</v>
      </c>
      <c r="K33" s="26">
        <f>(K26/10000)*Assumptions!C49</f>
        <v>1.7100000000000001E-4</v>
      </c>
      <c r="L33" s="26">
        <f>(L26/10000)*Assumptions!C49</f>
        <v>1.9199999999999998E-4</v>
      </c>
      <c r="M33" s="26">
        <f>(M26/10000)*Assumptions!C49</f>
        <v>2.14E-4</v>
      </c>
      <c r="N33" s="26">
        <f>(N26/10000)*Assumptions!C49</f>
        <v>2.3900000000000001E-4</v>
      </c>
      <c r="O33" s="26">
        <f>(O26/10000)*Assumptions!C49</f>
        <v>2.6600000000000001E-4</v>
      </c>
      <c r="P33" s="26">
        <f>(P26/10000)*Assumptions!C49</f>
        <v>2.9500000000000001E-4</v>
      </c>
      <c r="Q33" s="26">
        <f>(Q26/10000)*Assumptions!C49</f>
        <v>3.2699999999999998E-4</v>
      </c>
      <c r="R33" s="26">
        <f>(R26/10000)*Assumptions!C49</f>
        <v>3.6200000000000002E-4</v>
      </c>
      <c r="S33" s="26">
        <f>(S26/10000)*Assumptions!C49</f>
        <v>4.0000000000000002E-4</v>
      </c>
      <c r="T33" s="26">
        <f>(T26/10000)*Assumptions!C49</f>
        <v>4.4200000000000006E-4</v>
      </c>
      <c r="U33" s="26">
        <f>(U26/10000)*Assumptions!C49</f>
        <v>4.8800000000000004E-4</v>
      </c>
      <c r="V33" s="26">
        <f>(V26/10000)*Assumptions!C49</f>
        <v>5.3800000000000007E-4</v>
      </c>
      <c r="W33" s="26">
        <f>(W26/10000)*Assumptions!C49</f>
        <v>5.9299999999999999E-4</v>
      </c>
      <c r="X33" s="26">
        <f>(X26/10000)*Assumptions!C49</f>
        <v>6.5299999999999993E-4</v>
      </c>
      <c r="Y33" s="26">
        <f>(Y26/10000)*Assumptions!C49</f>
        <v>7.1900000000000002E-4</v>
      </c>
      <c r="Z33" s="26">
        <f>(Z26/10000)*Assumptions!C49</f>
        <v>7.9100000000000004E-4</v>
      </c>
    </row>
    <row r="34" spans="2:26" x14ac:dyDescent="0.55000000000000004">
      <c r="B34" s="5" t="s">
        <v>220</v>
      </c>
      <c r="C34" s="26">
        <f>(C26*Assumptions!C33/1024)*Assumptions!C50</f>
        <v>8.8134765625000003E-3</v>
      </c>
      <c r="D34" s="26">
        <f>(D26*Assumptions!C33/1024)*Assumptions!C50</f>
        <v>1.8332031250000002E-2</v>
      </c>
      <c r="E34" s="26">
        <f>(E26*Assumptions!C33/1024)*Assumptions!C50</f>
        <v>2.85556640625E-2</v>
      </c>
      <c r="F34" s="26">
        <f>(F26*Assumptions!C33/1024)*Assumptions!C50</f>
        <v>3.1728515625000002E-2</v>
      </c>
      <c r="G34" s="26">
        <f>(G26*Assumptions!C33/1024)*Assumptions!C50</f>
        <v>3.6664062500000004E-2</v>
      </c>
      <c r="H34" s="26">
        <f>(H26*Assumptions!C33/1024)*Assumptions!C50</f>
        <v>4.1599609375000006E-2</v>
      </c>
      <c r="I34" s="26">
        <f>(I26*Assumptions!C33/1024)*Assumptions!C50</f>
        <v>4.7240234375000009E-2</v>
      </c>
      <c r="J34" s="26">
        <f>(J26*Assumptions!C33/1024)*Assumptions!C50</f>
        <v>5.35859375E-2</v>
      </c>
      <c r="K34" s="26">
        <f>(K26*Assumptions!C33/1024)*Assumptions!C50</f>
        <v>6.0284179687500002E-2</v>
      </c>
      <c r="L34" s="26">
        <f>(L26*Assumptions!C33/1024)*Assumptions!C50</f>
        <v>6.7687500000000012E-2</v>
      </c>
      <c r="M34" s="26">
        <f>(M26*Assumptions!C33/1024)*Assumptions!C50</f>
        <v>7.5443359375000005E-2</v>
      </c>
      <c r="N34" s="26">
        <f>(N26*Assumptions!C33/1024)*Assumptions!C50</f>
        <v>8.4256835937499996E-2</v>
      </c>
      <c r="O34" s="26">
        <f>(O26*Assumptions!C33/1024)*Assumptions!C50</f>
        <v>9.377539062500001E-2</v>
      </c>
      <c r="P34" s="26">
        <f>(P26*Assumptions!C33/1024)*Assumptions!C50</f>
        <v>0.1039990234375</v>
      </c>
      <c r="Q34" s="26">
        <f>(Q26*Assumptions!C33/1024)*Assumptions!C50</f>
        <v>0.11528027343750001</v>
      </c>
      <c r="R34" s="26">
        <f>(R26*Assumptions!C33/1024)*Assumptions!C50</f>
        <v>0.12761914062500002</v>
      </c>
      <c r="S34" s="26">
        <f>(S26*Assumptions!C33/1024)*Assumptions!C50</f>
        <v>0.14101562500000001</v>
      </c>
      <c r="T34" s="26">
        <f>(T26*Assumptions!C33/1024)*Assumptions!C50</f>
        <v>0.15582226562500001</v>
      </c>
      <c r="U34" s="26">
        <f>(U26*Assumptions!C33/1024)*Assumptions!C50</f>
        <v>0.17203906250000001</v>
      </c>
      <c r="V34" s="26">
        <f>(V26*Assumptions!C33/1024)*Assumptions!C50</f>
        <v>0.18966601562499999</v>
      </c>
      <c r="W34" s="26">
        <f>(W26*Assumptions!C33/1024)*Assumptions!C50</f>
        <v>0.20905566406250001</v>
      </c>
      <c r="X34" s="26">
        <f>(X26*Assumptions!C33/1024)*Assumptions!C50</f>
        <v>0.2302080078125</v>
      </c>
      <c r="Y34" s="26">
        <f>(Y26*Assumptions!C33/1024)*Assumptions!C50</f>
        <v>0.25347558593750003</v>
      </c>
      <c r="Z34" s="26">
        <f>(Z26*Assumptions!C33/1024)*Assumptions!C50</f>
        <v>0.27885839843750004</v>
      </c>
    </row>
    <row r="35" spans="2:26" x14ac:dyDescent="0.55000000000000004">
      <c r="B35" s="12" t="s">
        <v>221</v>
      </c>
      <c r="C35" s="7">
        <f t="shared" ref="C35:Z35" si="8">C31+C32+C33+C34</f>
        <v>5.8398476562499996E-2</v>
      </c>
      <c r="D35" s="7">
        <f t="shared" si="8"/>
        <v>0.11883403124999999</v>
      </c>
      <c r="E35" s="7">
        <f t="shared" si="8"/>
        <v>0.18448666406249997</v>
      </c>
      <c r="F35" s="7">
        <f t="shared" si="8"/>
        <v>0.24789851562500001</v>
      </c>
      <c r="G35" s="7">
        <f t="shared" si="8"/>
        <v>0.31851806249999998</v>
      </c>
      <c r="H35" s="7">
        <f t="shared" si="8"/>
        <v>0.39517760937500002</v>
      </c>
      <c r="I35" s="7">
        <f t="shared" si="8"/>
        <v>0.47885423437500002</v>
      </c>
      <c r="J35" s="7">
        <f t="shared" si="8"/>
        <v>0.57050793749999995</v>
      </c>
      <c r="K35" s="7">
        <f t="shared" si="8"/>
        <v>0.67035517968749991</v>
      </c>
      <c r="L35" s="7">
        <f t="shared" si="8"/>
        <v>0.77967949999999997</v>
      </c>
      <c r="M35" s="7">
        <f t="shared" si="8"/>
        <v>0.89836735937500001</v>
      </c>
      <c r="N35" s="7">
        <f t="shared" si="8"/>
        <v>1.0280758359375</v>
      </c>
      <c r="O35" s="7">
        <f t="shared" si="8"/>
        <v>1.1693513906249999</v>
      </c>
      <c r="P35" s="7">
        <f t="shared" si="8"/>
        <v>1.3230040234375</v>
      </c>
      <c r="Q35" s="7">
        <f t="shared" si="8"/>
        <v>1.4910172734375</v>
      </c>
      <c r="R35" s="7">
        <f t="shared" si="8"/>
        <v>1.6745711406250001</v>
      </c>
      <c r="S35" s="7">
        <f t="shared" si="8"/>
        <v>1.8751856250000001</v>
      </c>
      <c r="T35" s="7">
        <f t="shared" si="8"/>
        <v>2.0943942656250001</v>
      </c>
      <c r="U35" s="7">
        <f t="shared" si="8"/>
        <v>2.3339470625000001</v>
      </c>
      <c r="V35" s="7">
        <f t="shared" si="8"/>
        <v>2.5954040156250002</v>
      </c>
      <c r="W35" s="7">
        <f t="shared" si="8"/>
        <v>2.8812786640625001</v>
      </c>
      <c r="X35" s="7">
        <f t="shared" si="8"/>
        <v>3.1939910078125004</v>
      </c>
      <c r="Y35" s="7">
        <f t="shared" si="8"/>
        <v>3.5358545859375008</v>
      </c>
      <c r="Z35" s="7">
        <f t="shared" si="8"/>
        <v>3.9094093984375005</v>
      </c>
    </row>
    <row r="36" spans="2:26" x14ac:dyDescent="0.55000000000000004">
      <c r="B36" s="5" t="s">
        <v>222</v>
      </c>
      <c r="C36" s="26">
        <f>MAX(0,C16-Assumptions!C59)*Assumptions!C55</f>
        <v>0</v>
      </c>
      <c r="D36" s="26">
        <f>MAX(0,D16-Assumptions!C59)*Assumptions!C55</f>
        <v>0</v>
      </c>
      <c r="E36" s="26">
        <f>MAX(0,E16-Assumptions!C59)*Assumptions!C55</f>
        <v>7.8149999999999983E-2</v>
      </c>
      <c r="F36" s="26">
        <f>MAX(0,F16-Assumptions!C59)*Assumptions!C55</f>
        <v>0.16799999999999998</v>
      </c>
      <c r="G36" s="26">
        <f>MAX(0,G16-Assumptions!C59)*Assumptions!C55</f>
        <v>0.26595000000000002</v>
      </c>
      <c r="H36" s="26">
        <f>MAX(0,H16-Assumptions!C59)*Assumptions!C55</f>
        <v>0.37289999999999995</v>
      </c>
      <c r="I36" s="26">
        <f>MAX(0,I16-Assumptions!C59)*Assumptions!C55</f>
        <v>0.48929999999999996</v>
      </c>
      <c r="J36" s="26">
        <f>MAX(0,J16-Assumptions!C59)*Assumptions!C55</f>
        <v>0.61649999999999994</v>
      </c>
      <c r="K36" s="26">
        <f>MAX(0,K16-Assumptions!C59)*Assumptions!C55</f>
        <v>0.75539999999999985</v>
      </c>
      <c r="L36" s="26">
        <f>MAX(0,L16-Assumptions!C59)*Assumptions!C55</f>
        <v>0.90734999999999988</v>
      </c>
      <c r="M36" s="26">
        <f>MAX(0,M16-Assumptions!C59)*Assumptions!C55</f>
        <v>1.0728</v>
      </c>
      <c r="N36" s="26">
        <f>MAX(0,N16-Assumptions!C59)*Assumptions!C55</f>
        <v>1.2530999999999999</v>
      </c>
      <c r="O36" s="26">
        <f>MAX(0,O16-Assumptions!C59)*Assumptions!C55</f>
        <v>1.4495999999999998</v>
      </c>
      <c r="P36" s="26">
        <f>MAX(0,P16-Assumptions!C59)*Assumptions!C55</f>
        <v>1.6634999999999998</v>
      </c>
      <c r="Q36" s="26">
        <f>MAX(0,Q16-Assumptions!C59)*Assumptions!C55</f>
        <v>1.8971999999999998</v>
      </c>
      <c r="R36" s="26">
        <f>MAX(0,R16-Assumptions!C59)*Assumptions!C55</f>
        <v>2.1524999999999999</v>
      </c>
      <c r="S36" s="26">
        <f>MAX(0,S16-Assumptions!C59)*Assumptions!C55</f>
        <v>2.4316500000000003</v>
      </c>
      <c r="T36" s="26">
        <f>MAX(0,T16-Assumptions!C59)*Assumptions!C55</f>
        <v>2.73645</v>
      </c>
      <c r="U36" s="26">
        <f>MAX(0,U16-Assumptions!C59)*Assumptions!C55</f>
        <v>3.0694499999999998</v>
      </c>
      <c r="V36" s="26">
        <f>MAX(0,V16-Assumptions!C59)*Assumptions!C55</f>
        <v>3.4330500000000002</v>
      </c>
      <c r="W36" s="26">
        <f>MAX(0,W16-Assumptions!C59)*Assumptions!C55</f>
        <v>3.8304</v>
      </c>
      <c r="X36" s="26">
        <f>MAX(0,X16-Assumptions!C59)*Assumptions!C55</f>
        <v>4.2651000000000003</v>
      </c>
      <c r="Y36" s="26">
        <f>MAX(0,Y16-Assumptions!C59)*Assumptions!C55</f>
        <v>4.7401500000000008</v>
      </c>
      <c r="Z36" s="26">
        <f>MAX(0,Z16-Assumptions!C59)*Assumptions!C55</f>
        <v>5.2593000000000005</v>
      </c>
    </row>
    <row r="37" spans="2:26" x14ac:dyDescent="0.55000000000000004">
      <c r="B37" s="5" t="s">
        <v>223</v>
      </c>
      <c r="C37" s="26">
        <f>MAX(0,C23-10000000)*Assumptions!C56/1000000</f>
        <v>0</v>
      </c>
      <c r="D37" s="26">
        <f>MAX(0,D23-10000000)*Assumptions!C56/1000000</f>
        <v>0</v>
      </c>
      <c r="E37" s="26">
        <f>MAX(0,E23-10000000)*Assumptions!C56/1000000</f>
        <v>0</v>
      </c>
      <c r="F37" s="26">
        <f>MAX(0,F23-10000000)*Assumptions!C56/1000000</f>
        <v>0</v>
      </c>
      <c r="G37" s="26">
        <f>MAX(0,G23-10000000)*Assumptions!C56/1000000</f>
        <v>0</v>
      </c>
      <c r="H37" s="26">
        <f>MAX(0,H23-10000000)*Assumptions!C56/1000000</f>
        <v>0</v>
      </c>
      <c r="I37" s="26">
        <f>MAX(0,I23-10000000)*Assumptions!C56/1000000</f>
        <v>0</v>
      </c>
      <c r="J37" s="26">
        <f>MAX(0,J23-10000000)*Assumptions!C56/1000000</f>
        <v>0</v>
      </c>
      <c r="K37" s="26">
        <f>MAX(0,K23-10000000)*Assumptions!C56/1000000</f>
        <v>0</v>
      </c>
      <c r="L37" s="26">
        <f>MAX(0,L23-10000000)*Assumptions!C56/1000000</f>
        <v>0</v>
      </c>
      <c r="M37" s="26">
        <f>MAX(0,M23-10000000)*Assumptions!C56/1000000</f>
        <v>0</v>
      </c>
      <c r="N37" s="26">
        <f>MAX(0,N23-10000000)*Assumptions!C56/1000000</f>
        <v>0</v>
      </c>
      <c r="O37" s="26">
        <f>MAX(0,O23-10000000)*Assumptions!C56/1000000</f>
        <v>0</v>
      </c>
      <c r="P37" s="26">
        <f>MAX(0,P23-10000000)*Assumptions!C56/1000000</f>
        <v>0</v>
      </c>
      <c r="Q37" s="26">
        <f>MAX(0,Q23-10000000)*Assumptions!C56/1000000</f>
        <v>0</v>
      </c>
      <c r="R37" s="26">
        <f>MAX(0,R23-10000000)*Assumptions!C56/1000000</f>
        <v>0</v>
      </c>
      <c r="S37" s="26">
        <f>MAX(0,S23-10000000)*Assumptions!C56/1000000</f>
        <v>0</v>
      </c>
      <c r="T37" s="26">
        <f>MAX(0,T23-10000000)*Assumptions!C56/1000000</f>
        <v>0</v>
      </c>
      <c r="U37" s="26">
        <f>MAX(0,U23-10000000)*Assumptions!C56/1000000</f>
        <v>0</v>
      </c>
      <c r="V37" s="26">
        <f>MAX(0,V23-10000000)*Assumptions!C56/1000000</f>
        <v>0</v>
      </c>
      <c r="W37" s="26">
        <f>MAX(0,W23-10000000)*Assumptions!C56/1000000</f>
        <v>0</v>
      </c>
      <c r="X37" s="26">
        <f>MAX(0,X23-10000000)*Assumptions!C56/1000000</f>
        <v>0</v>
      </c>
      <c r="Y37" s="26">
        <f>MAX(0,Y23-10000000)*Assumptions!C56/1000000</f>
        <v>0</v>
      </c>
      <c r="Z37" s="26">
        <f>MAX(0,Z23-10000000)*Assumptions!C56/1000000</f>
        <v>0</v>
      </c>
    </row>
    <row r="38" spans="2:26" x14ac:dyDescent="0.55000000000000004">
      <c r="B38" s="5" t="s">
        <v>224</v>
      </c>
      <c r="C38" s="26">
        <f>MAX(0,C24-10000000)*Assumptions!C57/1000000</f>
        <v>0</v>
      </c>
      <c r="D38" s="26">
        <f>MAX(0,D24-10000000)*Assumptions!C57/1000000</f>
        <v>0</v>
      </c>
      <c r="E38" s="26">
        <f>MAX(0,E24-10000000)*Assumptions!C57/1000000</f>
        <v>0</v>
      </c>
      <c r="F38" s="26">
        <f>MAX(0,F24-10000000)*Assumptions!C57/1000000</f>
        <v>0</v>
      </c>
      <c r="G38" s="26">
        <f>MAX(0,G24-10000000)*Assumptions!C57/1000000</f>
        <v>0</v>
      </c>
      <c r="H38" s="26">
        <f>MAX(0,H24-10000000)*Assumptions!C57/1000000</f>
        <v>0</v>
      </c>
      <c r="I38" s="26">
        <f>MAX(0,I24-10000000)*Assumptions!C57/1000000</f>
        <v>0</v>
      </c>
      <c r="J38" s="26">
        <f>MAX(0,J24-10000000)*Assumptions!C57/1000000</f>
        <v>0</v>
      </c>
      <c r="K38" s="26">
        <f>MAX(0,K24-10000000)*Assumptions!C57/1000000</f>
        <v>0</v>
      </c>
      <c r="L38" s="26">
        <f>MAX(0,L24-10000000)*Assumptions!C57/1000000</f>
        <v>0</v>
      </c>
      <c r="M38" s="26">
        <f>MAX(0,M24-10000000)*Assumptions!C57/1000000</f>
        <v>0</v>
      </c>
      <c r="N38" s="26">
        <f>MAX(0,N24-10000000)*Assumptions!C57/1000000</f>
        <v>0</v>
      </c>
      <c r="O38" s="26">
        <f>MAX(0,O24-10000000)*Assumptions!C57/1000000</f>
        <v>0</v>
      </c>
      <c r="P38" s="26">
        <f>MAX(0,P24-10000000)*Assumptions!C57/1000000</f>
        <v>0</v>
      </c>
      <c r="Q38" s="26">
        <f>MAX(0,Q24-10000000)*Assumptions!C57/1000000</f>
        <v>0</v>
      </c>
      <c r="R38" s="26">
        <f>MAX(0,R24-10000000)*Assumptions!C57/1000000</f>
        <v>0</v>
      </c>
      <c r="S38" s="26">
        <f>MAX(0,S24-10000000)*Assumptions!C57/1000000</f>
        <v>0</v>
      </c>
      <c r="T38" s="26">
        <f>MAX(0,T24-10000000)*Assumptions!C57/1000000</f>
        <v>0</v>
      </c>
      <c r="U38" s="26">
        <f>MAX(0,U24-10000000)*Assumptions!C57/1000000</f>
        <v>0</v>
      </c>
      <c r="V38" s="26">
        <f>MAX(0,V24-10000000)*Assumptions!C57/1000000</f>
        <v>0</v>
      </c>
      <c r="W38" s="26">
        <f>MAX(0,W24-10000000)*Assumptions!C57/1000000</f>
        <v>0</v>
      </c>
      <c r="X38" s="26">
        <f>MAX(0,X24-10000000)*Assumptions!C57/1000000</f>
        <v>0</v>
      </c>
      <c r="Y38" s="26">
        <f>MAX(0,Y24-10000000)*Assumptions!C57/1000000</f>
        <v>0</v>
      </c>
      <c r="Z38" s="26">
        <f>MAX(0,Z24-10000000)*Assumptions!C57/1000000</f>
        <v>0</v>
      </c>
    </row>
    <row r="39" spans="2:26" x14ac:dyDescent="0.55000000000000004">
      <c r="B39" s="12" t="s">
        <v>225</v>
      </c>
      <c r="C39" s="7">
        <f t="shared" ref="C39:Z39" si="9">C36+C37+C38</f>
        <v>0</v>
      </c>
      <c r="D39" s="7">
        <f t="shared" si="9"/>
        <v>0</v>
      </c>
      <c r="E39" s="7">
        <f t="shared" si="9"/>
        <v>7.8149999999999983E-2</v>
      </c>
      <c r="F39" s="7">
        <f t="shared" si="9"/>
        <v>0.16799999999999998</v>
      </c>
      <c r="G39" s="7">
        <f t="shared" si="9"/>
        <v>0.26595000000000002</v>
      </c>
      <c r="H39" s="7">
        <f t="shared" si="9"/>
        <v>0.37289999999999995</v>
      </c>
      <c r="I39" s="7">
        <f t="shared" si="9"/>
        <v>0.48929999999999996</v>
      </c>
      <c r="J39" s="7">
        <f t="shared" si="9"/>
        <v>0.61649999999999994</v>
      </c>
      <c r="K39" s="7">
        <f t="shared" si="9"/>
        <v>0.75539999999999985</v>
      </c>
      <c r="L39" s="7">
        <f t="shared" si="9"/>
        <v>0.90734999999999988</v>
      </c>
      <c r="M39" s="7">
        <f t="shared" si="9"/>
        <v>1.0728</v>
      </c>
      <c r="N39" s="7">
        <f t="shared" si="9"/>
        <v>1.2530999999999999</v>
      </c>
      <c r="O39" s="7">
        <f t="shared" si="9"/>
        <v>1.4495999999999998</v>
      </c>
      <c r="P39" s="7">
        <f t="shared" si="9"/>
        <v>1.6634999999999998</v>
      </c>
      <c r="Q39" s="7">
        <f t="shared" si="9"/>
        <v>1.8971999999999998</v>
      </c>
      <c r="R39" s="7">
        <f t="shared" si="9"/>
        <v>2.1524999999999999</v>
      </c>
      <c r="S39" s="7">
        <f t="shared" si="9"/>
        <v>2.4316500000000003</v>
      </c>
      <c r="T39" s="7">
        <f t="shared" si="9"/>
        <v>2.73645</v>
      </c>
      <c r="U39" s="7">
        <f t="shared" si="9"/>
        <v>3.0694499999999998</v>
      </c>
      <c r="V39" s="7">
        <f t="shared" si="9"/>
        <v>3.4330500000000002</v>
      </c>
      <c r="W39" s="7">
        <f t="shared" si="9"/>
        <v>3.8304</v>
      </c>
      <c r="X39" s="7">
        <f t="shared" si="9"/>
        <v>4.2651000000000003</v>
      </c>
      <c r="Y39" s="7">
        <f t="shared" si="9"/>
        <v>4.7401500000000008</v>
      </c>
      <c r="Z39" s="7">
        <f t="shared" si="9"/>
        <v>5.2593000000000005</v>
      </c>
    </row>
    <row r="40" spans="2:26" x14ac:dyDescent="0.55000000000000004">
      <c r="B40" s="5" t="s">
        <v>226</v>
      </c>
      <c r="C40" s="26">
        <f>(C11*Assumptions!C65/1024/1024)*Assumptions!C63+(C27/10000)*Assumptions!C64</f>
        <v>2.1890565087890625E-4</v>
      </c>
      <c r="D40" s="26">
        <f>(D11*Assumptions!C65/1024/1024)*Assumptions!C63+(D27/10000)*Assumptions!C64</f>
        <v>4.1956743933105475E-4</v>
      </c>
      <c r="E40" s="26">
        <f>(E11*Assumptions!C65/1024/1024)*Assumptions!C63+(E27/10000)*Assumptions!C64</f>
        <v>6.3809885742187507E-4</v>
      </c>
      <c r="F40" s="26">
        <f>(F11*Assumptions!C65/1024/1024)*Assumptions!C63+(F27/10000)*Assumptions!C64</f>
        <v>7.1925407446289061E-4</v>
      </c>
      <c r="G40" s="26">
        <f>(G11*Assumptions!C65/1024/1024)*Assumptions!C63+(G27/10000)*Assumptions!C64</f>
        <v>8.3031675183105466E-4</v>
      </c>
      <c r="H40" s="26">
        <f>(H11*Assumptions!C65/1024/1024)*Assumptions!C63+(H27/10000)*Assumptions!C64</f>
        <v>9.5219855090332027E-4</v>
      </c>
      <c r="I40" s="26">
        <f>(I11*Assumptions!C65/1024/1024)*Assumptions!C63+(I27/10000)*Assumptions!C64</f>
        <v>1.0851791330566409E-3</v>
      </c>
      <c r="J40" s="26">
        <f>(J11*Assumptions!C65/1024/1024)*Assumptions!C63+(J27/10000)*Assumptions!C64</f>
        <v>1.2306624982910156E-3</v>
      </c>
      <c r="K40" s="26">
        <f>(K11*Assumptions!C65/1024/1024)*Assumptions!C63+(K27/10000)*Assumptions!C64</f>
        <v>1.3898559693603517E-3</v>
      </c>
      <c r="L40" s="26">
        <f>(L11*Assumptions!C65/1024/1024)*Assumptions!C63+(L27/10000)*Assumptions!C64</f>
        <v>1.5649333769531251E-3</v>
      </c>
      <c r="M40" s="26">
        <f>(M11*Assumptions!C65/1024/1024)*Assumptions!C63+(M27/10000)*Assumptions!C64</f>
        <v>1.7545183824462891E-3</v>
      </c>
      <c r="N40" s="26">
        <f>(N11*Assumptions!C65/1024/1024)*Assumptions!C63+(N27/10000)*Assumptions!C64</f>
        <v>1.960726647216797E-3</v>
      </c>
      <c r="O40" s="26">
        <f>(O11*Assumptions!C65/1024/1024)*Assumptions!C63+(O27/10000)*Assumptions!C64</f>
        <v>2.1841258326416018E-3</v>
      </c>
      <c r="P40" s="26">
        <f>(P11*Assumptions!C65/1024/1024)*Assumptions!C63+(P27/10000)*Assumptions!C64</f>
        <v>2.4279392614746094E-3</v>
      </c>
      <c r="Q40" s="26">
        <f>(Q11*Assumptions!C65/1024/1024)*Assumptions!C63+(Q27/10000)*Assumptions!C64</f>
        <v>2.6952324257812502E-3</v>
      </c>
      <c r="R40" s="26">
        <f>(R11*Assumptions!C65/1024/1024)*Assumptions!C63+(R27/10000)*Assumptions!C64</f>
        <v>2.9881126483154294E-3</v>
      </c>
      <c r="S40" s="26">
        <f>(S11*Assumptions!C65/1024/1024)*Assumptions!C63+(S27/10000)*Assumptions!C64</f>
        <v>3.3095014211425781E-3</v>
      </c>
      <c r="T40" s="26">
        <f>(T11*Assumptions!C65/1024/1024)*Assumptions!C63+(T27/10000)*Assumptions!C64</f>
        <v>3.6605257283935547E-3</v>
      </c>
      <c r="U40" s="26">
        <f>(U11*Assumptions!C65/1024/1024)*Assumptions!C63+(U27/10000)*Assumptions!C64</f>
        <v>4.0443950621337895E-3</v>
      </c>
      <c r="V40" s="26">
        <f>(V11*Assumptions!C65/1024/1024)*Assumptions!C63+(V27/10000)*Assumptions!C64</f>
        <v>4.4622807451171875E-3</v>
      </c>
      <c r="W40" s="26">
        <f>(W11*Assumptions!C65/1024/1024)*Assumptions!C63+(W27/10000)*Assumptions!C64</f>
        <v>4.9200174228515633E-3</v>
      </c>
      <c r="X40" s="26">
        <f>(X11*Assumptions!C65/1024/1024)*Assumptions!C63+(X27/10000)*Assumptions!C64</f>
        <v>5.421310248779297E-3</v>
      </c>
      <c r="Y40" s="26">
        <f>(Y11*Assumptions!C65/1024/1024)*Assumptions!C63+(Y27/10000)*Assumptions!C64</f>
        <v>5.9696982070312496E-3</v>
      </c>
      <c r="Z40" s="26">
        <f>(Z11*Assumptions!C65/1024/1024)*Assumptions!C63+(Z27/10000)*Assumptions!C64</f>
        <v>6.5690719431152345E-3</v>
      </c>
    </row>
    <row r="41" spans="2:26" x14ac:dyDescent="0.55000000000000004">
      <c r="B41" s="5" t="s">
        <v>227</v>
      </c>
      <c r="C41" s="26">
        <f>MAX(0,C22-Assumptions!C73)/1000000*Assumptions!C69+MAX(0,C22*(Assumptions!C71/1000)*(Assumptions!C72/1024)-Assumptions!C74)*Assumptions!C70</f>
        <v>0</v>
      </c>
      <c r="D41" s="26">
        <f>MAX(0,D22-Assumptions!C73)/1000000*Assumptions!C69+MAX(0,D22*(Assumptions!C71/1000)*(Assumptions!C72/1024)-Assumptions!C74)*Assumptions!C70</f>
        <v>0</v>
      </c>
      <c r="E41" s="26">
        <f>MAX(0,E22-Assumptions!C73)/1000000*Assumptions!C69+MAX(0,E22*(Assumptions!C71/1000)*(Assumptions!C72/1024)-Assumptions!C74)*Assumptions!C70</f>
        <v>0</v>
      </c>
      <c r="F41" s="26">
        <f>MAX(0,F22-Assumptions!C73)/1000000*Assumptions!C69+MAX(0,F22*(Assumptions!C71/1000)*(Assumptions!C72/1024)-Assumptions!C74)*Assumptions!C70</f>
        <v>0</v>
      </c>
      <c r="G41" s="26">
        <f>MAX(0,G22-Assumptions!C73)/1000000*Assumptions!C69+MAX(0,G22*(Assumptions!C71/1000)*(Assumptions!C72/1024)-Assumptions!C74)*Assumptions!C70</f>
        <v>0</v>
      </c>
      <c r="H41" s="26">
        <f>MAX(0,H22-Assumptions!C73)/1000000*Assumptions!C69+MAX(0,H22*(Assumptions!C71/1000)*(Assumptions!C72/1024)-Assumptions!C74)*Assumptions!C70</f>
        <v>0</v>
      </c>
      <c r="I41" s="26">
        <f>MAX(0,I22-Assumptions!C73)/1000000*Assumptions!C69+MAX(0,I22*(Assumptions!C71/1000)*(Assumptions!C72/1024)-Assumptions!C74)*Assumptions!C70</f>
        <v>0</v>
      </c>
      <c r="J41" s="26">
        <f>MAX(0,J22-Assumptions!C73)/1000000*Assumptions!C69+MAX(0,J22*(Assumptions!C71/1000)*(Assumptions!C72/1024)-Assumptions!C74)*Assumptions!C70</f>
        <v>0</v>
      </c>
      <c r="K41" s="26">
        <f>MAX(0,K22-Assumptions!C73)/1000000*Assumptions!C69+MAX(0,K22*(Assumptions!C71/1000)*(Assumptions!C72/1024)-Assumptions!C74)*Assumptions!C70</f>
        <v>0</v>
      </c>
      <c r="L41" s="26">
        <f>MAX(0,L22-Assumptions!C73)/1000000*Assumptions!C69+MAX(0,L22*(Assumptions!C71/1000)*(Assumptions!C72/1024)-Assumptions!C74)*Assumptions!C70</f>
        <v>0</v>
      </c>
      <c r="M41" s="26">
        <f>MAX(0,M22-Assumptions!C73)/1000000*Assumptions!C69+MAX(0,M22*(Assumptions!C71/1000)*(Assumptions!C72/1024)-Assumptions!C74)*Assumptions!C70</f>
        <v>0</v>
      </c>
      <c r="N41" s="26">
        <f>MAX(0,N22-Assumptions!C73)/1000000*Assumptions!C69+MAX(0,N22*(Assumptions!C71/1000)*(Assumptions!C72/1024)-Assumptions!C74)*Assumptions!C70</f>
        <v>0</v>
      </c>
      <c r="O41" s="26">
        <f>MAX(0,O22-Assumptions!C73)/1000000*Assumptions!C69+MAX(0,O22*(Assumptions!C71/1000)*(Assumptions!C72/1024)-Assumptions!C74)*Assumptions!C70</f>
        <v>0</v>
      </c>
      <c r="P41" s="26">
        <f>MAX(0,P22-Assumptions!C73)/1000000*Assumptions!C69+MAX(0,P22*(Assumptions!C71/1000)*(Assumptions!C72/1024)-Assumptions!C74)*Assumptions!C70</f>
        <v>0</v>
      </c>
      <c r="Q41" s="26">
        <f>MAX(0,Q22-Assumptions!C73)/1000000*Assumptions!C69+MAX(0,Q22*(Assumptions!C71/1000)*(Assumptions!C72/1024)-Assumptions!C74)*Assumptions!C70</f>
        <v>0</v>
      </c>
      <c r="R41" s="26">
        <f>MAX(0,R22-Assumptions!C73)/1000000*Assumptions!C69+MAX(0,R22*(Assumptions!C71/1000)*(Assumptions!C72/1024)-Assumptions!C74)*Assumptions!C70</f>
        <v>0</v>
      </c>
      <c r="S41" s="26">
        <f>MAX(0,S22-Assumptions!C73)/1000000*Assumptions!C69+MAX(0,S22*(Assumptions!C71/1000)*(Assumptions!C72/1024)-Assumptions!C74)*Assumptions!C70</f>
        <v>0</v>
      </c>
      <c r="T41" s="26">
        <f>MAX(0,T22-Assumptions!C73)/1000000*Assumptions!C69+MAX(0,T22*(Assumptions!C71/1000)*(Assumptions!C72/1024)-Assumptions!C74)*Assumptions!C70</f>
        <v>0</v>
      </c>
      <c r="U41" s="26">
        <f>MAX(0,U22-Assumptions!C73)/1000000*Assumptions!C69+MAX(0,U22*(Assumptions!C71/1000)*(Assumptions!C72/1024)-Assumptions!C74)*Assumptions!C70</f>
        <v>0</v>
      </c>
      <c r="V41" s="26">
        <f>MAX(0,V22-Assumptions!C73)/1000000*Assumptions!C69+MAX(0,V22*(Assumptions!C71/1000)*(Assumptions!C72/1024)-Assumptions!C74)*Assumptions!C70</f>
        <v>0</v>
      </c>
      <c r="W41" s="26">
        <f>MAX(0,W22-Assumptions!C73)/1000000*Assumptions!C69+MAX(0,W22*(Assumptions!C71/1000)*(Assumptions!C72/1024)-Assumptions!C74)*Assumptions!C70</f>
        <v>0</v>
      </c>
      <c r="X41" s="26">
        <f>MAX(0,X22-Assumptions!C73)/1000000*Assumptions!C69+MAX(0,X22*(Assumptions!C71/1000)*(Assumptions!C72/1024)-Assumptions!C74)*Assumptions!C70</f>
        <v>0</v>
      </c>
      <c r="Y41" s="26">
        <f>MAX(0,Y22-Assumptions!C73)/1000000*Assumptions!C69+MAX(0,Y22*(Assumptions!C71/1000)*(Assumptions!C72/1024)-Assumptions!C74)*Assumptions!C70</f>
        <v>0</v>
      </c>
      <c r="Z41" s="26">
        <f>MAX(0,Z22-Assumptions!C73)/1000000*Assumptions!C69+MAX(0,Z22*(Assumptions!C71/1000)*(Assumptions!C72/1024)-Assumptions!C74)*Assumptions!C70</f>
        <v>0</v>
      </c>
    </row>
    <row r="42" spans="2:26" x14ac:dyDescent="0.55000000000000004">
      <c r="B42" s="5" t="s">
        <v>228</v>
      </c>
      <c r="C42" s="26">
        <f>Assumptions!C78+MAX(0,C11*0.3-50000)*Assumptions!C79+Assumptions!C80+Assumptions!C81</f>
        <v>25</v>
      </c>
      <c r="D42" s="26">
        <f>Assumptions!C78+MAX(0,D11*0.3-50000)*Assumptions!C79+Assumptions!C80+Assumptions!C81</f>
        <v>25</v>
      </c>
      <c r="E42" s="26">
        <f>Assumptions!C78+MAX(0,E11*0.3-50000)*Assumptions!C79+Assumptions!C80+Assumptions!C81</f>
        <v>25</v>
      </c>
      <c r="F42" s="26">
        <f>Assumptions!C78+MAX(0,F11*0.3-50000)*Assumptions!C79+Assumptions!C80+Assumptions!C81</f>
        <v>25</v>
      </c>
      <c r="G42" s="26">
        <f>Assumptions!C78+MAX(0,G11*0.3-50000)*Assumptions!C79+Assumptions!C80+Assumptions!C81</f>
        <v>25</v>
      </c>
      <c r="H42" s="26">
        <f>Assumptions!C78+MAX(0,H11*0.3-50000)*Assumptions!C79+Assumptions!C80+Assumptions!C81</f>
        <v>25</v>
      </c>
      <c r="I42" s="26">
        <f>Assumptions!C78+MAX(0,I11*0.3-50000)*Assumptions!C79+Assumptions!C80+Assumptions!C81</f>
        <v>25</v>
      </c>
      <c r="J42" s="26">
        <f>Assumptions!C78+MAX(0,J11*0.3-50000)*Assumptions!C79+Assumptions!C80+Assumptions!C81</f>
        <v>25</v>
      </c>
      <c r="K42" s="26">
        <f>Assumptions!C78+MAX(0,K11*0.3-50000)*Assumptions!C79+Assumptions!C80+Assumptions!C81</f>
        <v>25</v>
      </c>
      <c r="L42" s="26">
        <f>Assumptions!C78+MAX(0,L11*0.3-50000)*Assumptions!C79+Assumptions!C80+Assumptions!C81</f>
        <v>25</v>
      </c>
      <c r="M42" s="26">
        <f>Assumptions!C78+MAX(0,M11*0.3-50000)*Assumptions!C79+Assumptions!C80+Assumptions!C81</f>
        <v>25</v>
      </c>
      <c r="N42" s="26">
        <f>Assumptions!C78+MAX(0,N11*0.3-50000)*Assumptions!C79+Assumptions!C80+Assumptions!C81</f>
        <v>25</v>
      </c>
      <c r="O42" s="26">
        <f>Assumptions!C78+MAX(0,O11*0.3-50000)*Assumptions!C79+Assumptions!C80+Assumptions!C81</f>
        <v>25</v>
      </c>
      <c r="P42" s="26">
        <f>Assumptions!C78+MAX(0,P11*0.3-50000)*Assumptions!C79+Assumptions!C80+Assumptions!C81</f>
        <v>25</v>
      </c>
      <c r="Q42" s="26">
        <f>Assumptions!C78+MAX(0,Q11*0.3-50000)*Assumptions!C79+Assumptions!C80+Assumptions!C81</f>
        <v>25</v>
      </c>
      <c r="R42" s="26">
        <f>Assumptions!C78+MAX(0,R11*0.3-50000)*Assumptions!C79+Assumptions!C80+Assumptions!C81</f>
        <v>25</v>
      </c>
      <c r="S42" s="26">
        <f>Assumptions!C78+MAX(0,S11*0.3-50000)*Assumptions!C79+Assumptions!C80+Assumptions!C81</f>
        <v>25</v>
      </c>
      <c r="T42" s="26">
        <f>Assumptions!C78+MAX(0,T11*0.3-50000)*Assumptions!C79+Assumptions!C80+Assumptions!C81</f>
        <v>25</v>
      </c>
      <c r="U42" s="26">
        <f>Assumptions!C78+MAX(0,U11*0.3-50000)*Assumptions!C79+Assumptions!C80+Assumptions!C81</f>
        <v>25</v>
      </c>
      <c r="V42" s="26">
        <f>Assumptions!C78+MAX(0,V11*0.3-50000)*Assumptions!C79+Assumptions!C80+Assumptions!C81</f>
        <v>25</v>
      </c>
      <c r="W42" s="26">
        <f>Assumptions!C78+MAX(0,W11*0.3-50000)*Assumptions!C79+Assumptions!C80+Assumptions!C81</f>
        <v>25</v>
      </c>
      <c r="X42" s="26">
        <f>Assumptions!C78+MAX(0,X11*0.3-50000)*Assumptions!C79+Assumptions!C80+Assumptions!C81</f>
        <v>25</v>
      </c>
      <c r="Y42" s="26">
        <f>Assumptions!C78+MAX(0,Y11*0.3-50000)*Assumptions!C79+Assumptions!C80+Assumptions!C81</f>
        <v>25</v>
      </c>
      <c r="Z42" s="26">
        <f>Assumptions!C78+MAX(0,Z11*0.3-50000)*Assumptions!C79+Assumptions!C80+Assumptions!C81</f>
        <v>25</v>
      </c>
    </row>
    <row r="43" spans="2:26" x14ac:dyDescent="0.55000000000000004">
      <c r="B43" s="27" t="s">
        <v>229</v>
      </c>
      <c r="C43" s="28">
        <f t="shared" ref="C43:Z43" si="10">C35+C39+C40+C41+C42</f>
        <v>25.058617382213377</v>
      </c>
      <c r="D43" s="28">
        <f t="shared" si="10"/>
        <v>25.11925359868933</v>
      </c>
      <c r="E43" s="28">
        <f t="shared" si="10"/>
        <v>25.26327476291992</v>
      </c>
      <c r="F43" s="28">
        <f t="shared" si="10"/>
        <v>25.416617769699464</v>
      </c>
      <c r="G43" s="28">
        <f t="shared" si="10"/>
        <v>25.585298379251832</v>
      </c>
      <c r="H43" s="28">
        <f t="shared" si="10"/>
        <v>25.769029807925904</v>
      </c>
      <c r="I43" s="28">
        <f t="shared" si="10"/>
        <v>25.969239413508056</v>
      </c>
      <c r="J43" s="28">
        <f t="shared" si="10"/>
        <v>26.188238599998289</v>
      </c>
      <c r="K43" s="28">
        <f t="shared" si="10"/>
        <v>26.42714503565686</v>
      </c>
      <c r="L43" s="28">
        <f t="shared" si="10"/>
        <v>26.688594433376952</v>
      </c>
      <c r="M43" s="28">
        <f t="shared" si="10"/>
        <v>26.972921877757447</v>
      </c>
      <c r="N43" s="28">
        <f t="shared" si="10"/>
        <v>27.283136562584716</v>
      </c>
      <c r="O43" s="28">
        <f t="shared" si="10"/>
        <v>27.621135516457642</v>
      </c>
      <c r="P43" s="28">
        <f t="shared" si="10"/>
        <v>27.988931962698974</v>
      </c>
      <c r="Q43" s="28">
        <f t="shared" si="10"/>
        <v>28.39091250586328</v>
      </c>
      <c r="R43" s="28">
        <f t="shared" si="10"/>
        <v>28.830059253273316</v>
      </c>
      <c r="S43" s="28">
        <f t="shared" si="10"/>
        <v>29.310145126421144</v>
      </c>
      <c r="T43" s="28">
        <f t="shared" si="10"/>
        <v>29.834504791353393</v>
      </c>
      <c r="U43" s="28">
        <f t="shared" si="10"/>
        <v>30.407441457562133</v>
      </c>
      <c r="V43" s="28">
        <f t="shared" si="10"/>
        <v>31.032916296370118</v>
      </c>
      <c r="W43" s="28">
        <f t="shared" si="10"/>
        <v>31.716598681485351</v>
      </c>
      <c r="X43" s="28">
        <f t="shared" si="10"/>
        <v>32.464512318061281</v>
      </c>
      <c r="Y43" s="28">
        <f t="shared" si="10"/>
        <v>33.281974284144532</v>
      </c>
      <c r="Z43" s="28">
        <f t="shared" si="10"/>
        <v>34.175278470380619</v>
      </c>
    </row>
    <row r="45" spans="2:26" ht="16.8" x14ac:dyDescent="0.65">
      <c r="B45" s="3" t="s">
        <v>230</v>
      </c>
    </row>
    <row r="46" spans="2:26" x14ac:dyDescent="0.55000000000000004">
      <c r="B46" s="5" t="s">
        <v>231</v>
      </c>
      <c r="C46" s="29">
        <f>C6*Assumptions!C6</f>
        <v>2999</v>
      </c>
      <c r="D46" s="29">
        <f>D6*Assumptions!C6</f>
        <v>3238.9199999999996</v>
      </c>
      <c r="E46" s="29">
        <f>E6*Assumptions!C6</f>
        <v>3508.83</v>
      </c>
      <c r="F46" s="29">
        <f>F6*Assumptions!C6</f>
        <v>3778.74</v>
      </c>
      <c r="G46" s="29">
        <f>G6*Assumptions!C6</f>
        <v>4078.64</v>
      </c>
      <c r="H46" s="29">
        <f>H6*Assumptions!C6</f>
        <v>4408.53</v>
      </c>
      <c r="I46" s="29">
        <f>I6*Assumptions!C6</f>
        <v>4768.41</v>
      </c>
      <c r="J46" s="29">
        <f>J6*Assumptions!C6</f>
        <v>5158.28</v>
      </c>
      <c r="K46" s="29">
        <f>K6*Assumptions!C6</f>
        <v>5578.1399999999994</v>
      </c>
      <c r="L46" s="29">
        <f>L6*Assumptions!C6</f>
        <v>6027.99</v>
      </c>
      <c r="M46" s="29">
        <f>M6*Assumptions!C6</f>
        <v>6507.83</v>
      </c>
      <c r="N46" s="29">
        <f>N6*Assumptions!C6</f>
        <v>7017.66</v>
      </c>
      <c r="O46" s="29">
        <f>O6*Assumptions!C6</f>
        <v>7587.4699999999993</v>
      </c>
      <c r="P46" s="29">
        <f>P6*Assumptions!C6</f>
        <v>8187.2699999999995</v>
      </c>
      <c r="Q46" s="29">
        <f>Q6*Assumptions!C6</f>
        <v>8847.0499999999993</v>
      </c>
      <c r="R46" s="29">
        <f>R6*Assumptions!C6</f>
        <v>9566.81</v>
      </c>
      <c r="S46" s="29">
        <f>S6*Assumptions!C6</f>
        <v>10346.549999999999</v>
      </c>
      <c r="T46" s="29">
        <f>T6*Assumptions!C6</f>
        <v>11186.269999999999</v>
      </c>
      <c r="U46" s="29">
        <f>U6*Assumptions!C6</f>
        <v>12085.97</v>
      </c>
      <c r="V46" s="29">
        <f>V6*Assumptions!C6</f>
        <v>13045.65</v>
      </c>
      <c r="W46" s="29">
        <f>W6*Assumptions!C6</f>
        <v>14095.3</v>
      </c>
      <c r="X46" s="29">
        <f>X6*Assumptions!C6</f>
        <v>15234.92</v>
      </c>
      <c r="Y46" s="29">
        <f>Y6*Assumptions!C6</f>
        <v>16464.509999999998</v>
      </c>
      <c r="Z46" s="29">
        <f>Z6*Assumptions!C6</f>
        <v>17784.07</v>
      </c>
    </row>
    <row r="47" spans="2:26" x14ac:dyDescent="0.55000000000000004">
      <c r="B47" s="5" t="s">
        <v>232</v>
      </c>
      <c r="C47" s="29">
        <f>C7*Assumptions!C7</f>
        <v>1799.6000000000001</v>
      </c>
      <c r="D47" s="29">
        <f>D7*Assumptions!C7</f>
        <v>1979.5600000000002</v>
      </c>
      <c r="E47" s="29">
        <f>E7*Assumptions!C7</f>
        <v>2159.52</v>
      </c>
      <c r="F47" s="29">
        <f>F7*Assumptions!C7</f>
        <v>2384.4700000000003</v>
      </c>
      <c r="G47" s="29">
        <f>G7*Assumptions!C7</f>
        <v>2609.42</v>
      </c>
      <c r="H47" s="29">
        <f>H7*Assumptions!C7</f>
        <v>2879.36</v>
      </c>
      <c r="I47" s="29">
        <f>I7*Assumptions!C7</f>
        <v>3149.3</v>
      </c>
      <c r="J47" s="29">
        <f>J7*Assumptions!C7</f>
        <v>3464.23</v>
      </c>
      <c r="K47" s="29">
        <f>K7*Assumptions!C7</f>
        <v>3824.15</v>
      </c>
      <c r="L47" s="29">
        <f>L7*Assumptions!C7</f>
        <v>4229.0600000000004</v>
      </c>
      <c r="M47" s="29">
        <f>M7*Assumptions!C7</f>
        <v>4633.97</v>
      </c>
      <c r="N47" s="29">
        <f>N7*Assumptions!C7</f>
        <v>5083.87</v>
      </c>
      <c r="O47" s="29">
        <f>O7*Assumptions!C7</f>
        <v>5578.76</v>
      </c>
      <c r="P47" s="29">
        <f>P7*Assumptions!C7</f>
        <v>6118.64</v>
      </c>
      <c r="Q47" s="29">
        <f>Q7*Assumptions!C7</f>
        <v>6748.5</v>
      </c>
      <c r="R47" s="29">
        <f>R7*Assumptions!C7</f>
        <v>7423.35</v>
      </c>
      <c r="S47" s="29">
        <f>S7*Assumptions!C7</f>
        <v>8188.18</v>
      </c>
      <c r="T47" s="29">
        <f>T7*Assumptions!C7</f>
        <v>8998</v>
      </c>
      <c r="U47" s="29">
        <f>U7*Assumptions!C7</f>
        <v>9897.8000000000011</v>
      </c>
      <c r="V47" s="29">
        <f>V7*Assumptions!C7</f>
        <v>10887.58</v>
      </c>
      <c r="W47" s="29">
        <f>W7*Assumptions!C7</f>
        <v>11967.34</v>
      </c>
      <c r="X47" s="29">
        <f>X7*Assumptions!C7</f>
        <v>13182.07</v>
      </c>
      <c r="Y47" s="29">
        <f>Y7*Assumptions!C7</f>
        <v>14486.78</v>
      </c>
      <c r="Z47" s="29">
        <f>Z7*Assumptions!C7</f>
        <v>15926.460000000001</v>
      </c>
    </row>
    <row r="48" spans="2:26" x14ac:dyDescent="0.55000000000000004">
      <c r="B48" s="5" t="s">
        <v>233</v>
      </c>
      <c r="C48" s="29">
        <f>C8*Assumptions!C8</f>
        <v>1049.8499999999999</v>
      </c>
      <c r="D48" s="29">
        <f>D8*Assumptions!C8</f>
        <v>1189.83</v>
      </c>
      <c r="E48" s="29">
        <f>E8*Assumptions!C8</f>
        <v>1329.81</v>
      </c>
      <c r="F48" s="29">
        <f>F8*Assumptions!C8</f>
        <v>1469.79</v>
      </c>
      <c r="G48" s="29">
        <f>G8*Assumptions!C8</f>
        <v>1679.7599999999998</v>
      </c>
      <c r="H48" s="29">
        <f>H8*Assumptions!C8</f>
        <v>1889.7299999999998</v>
      </c>
      <c r="I48" s="29">
        <f>I8*Assumptions!C8</f>
        <v>2099.6999999999998</v>
      </c>
      <c r="J48" s="29">
        <f>J8*Assumptions!C8</f>
        <v>2379.66</v>
      </c>
      <c r="K48" s="29">
        <f>K8*Assumptions!C8</f>
        <v>2659.62</v>
      </c>
      <c r="L48" s="29">
        <f>L8*Assumptions!C8</f>
        <v>3009.5699999999997</v>
      </c>
      <c r="M48" s="29">
        <f>M8*Assumptions!C8</f>
        <v>3359.5199999999995</v>
      </c>
      <c r="N48" s="29">
        <f>N8*Assumptions!C8</f>
        <v>3779.4599999999996</v>
      </c>
      <c r="O48" s="29">
        <f>O8*Assumptions!C8</f>
        <v>4199.3999999999996</v>
      </c>
      <c r="P48" s="29">
        <f>P8*Assumptions!C8</f>
        <v>4689.33</v>
      </c>
      <c r="Q48" s="29">
        <f>Q8*Assumptions!C8</f>
        <v>5249.25</v>
      </c>
      <c r="R48" s="29">
        <f>R8*Assumptions!C8</f>
        <v>5879.16</v>
      </c>
      <c r="S48" s="29">
        <f>S8*Assumptions!C8</f>
        <v>6579.0599999999995</v>
      </c>
      <c r="T48" s="29">
        <f>T8*Assumptions!C8</f>
        <v>7348.95</v>
      </c>
      <c r="U48" s="29">
        <f>U8*Assumptions!C8</f>
        <v>8258.82</v>
      </c>
      <c r="V48" s="29">
        <f>V8*Assumptions!C8</f>
        <v>9238.6799999999985</v>
      </c>
      <c r="W48" s="29">
        <f>W8*Assumptions!C8</f>
        <v>10358.519999999999</v>
      </c>
      <c r="X48" s="29">
        <f>X8*Assumptions!C8</f>
        <v>11618.339999999998</v>
      </c>
      <c r="Y48" s="29">
        <f>Y8*Assumptions!C8</f>
        <v>13018.14</v>
      </c>
      <c r="Z48" s="29">
        <f>Z8*Assumptions!C8</f>
        <v>14557.919999999998</v>
      </c>
    </row>
    <row r="49" spans="2:26" x14ac:dyDescent="0.55000000000000004">
      <c r="B49" s="5" t="s">
        <v>234</v>
      </c>
      <c r="C49" s="29">
        <f>ROUND(C10*Assumptions!C23,0)*Assumptions!C12</f>
        <v>44.97</v>
      </c>
      <c r="D49" s="29">
        <f>ROUND(D10*Assumptions!C23,0)*Assumptions!C12</f>
        <v>89.94</v>
      </c>
      <c r="E49" s="29">
        <f>ROUND(E10*Assumptions!C23,0)*Assumptions!C12</f>
        <v>149.9</v>
      </c>
      <c r="F49" s="29">
        <f>ROUND(F10*Assumptions!C23,0)*Assumptions!C12</f>
        <v>209.86</v>
      </c>
      <c r="G49" s="29">
        <f>ROUND(G10*Assumptions!C23,0)*Assumptions!C12</f>
        <v>284.81</v>
      </c>
      <c r="H49" s="29">
        <f>ROUND(H10*Assumptions!C23,0)*Assumptions!C12</f>
        <v>344.77</v>
      </c>
      <c r="I49" s="29">
        <f>ROUND(I10*Assumptions!C23,0)*Assumptions!C12</f>
        <v>419.72</v>
      </c>
      <c r="J49" s="29">
        <f>ROUND(J10*Assumptions!C23,0)*Assumptions!C12</f>
        <v>509.66</v>
      </c>
      <c r="K49" s="29">
        <f>ROUND(K10*Assumptions!C23,0)*Assumptions!C12</f>
        <v>599.6</v>
      </c>
      <c r="L49" s="29">
        <f>ROUND(L10*Assumptions!C23,0)*Assumptions!C12</f>
        <v>704.53</v>
      </c>
      <c r="M49" s="29">
        <f>ROUND(M10*Assumptions!C23,0)*Assumptions!C12</f>
        <v>809.46</v>
      </c>
      <c r="N49" s="29">
        <f>ROUND(N10*Assumptions!C23,0)*Assumptions!C12</f>
        <v>929.38</v>
      </c>
      <c r="O49" s="29">
        <f>ROUND(O10*Assumptions!C23,0)*Assumptions!C12</f>
        <v>1064.29</v>
      </c>
      <c r="P49" s="29">
        <f>ROUND(P10*Assumptions!C23,0)*Assumptions!C12</f>
        <v>1214.19</v>
      </c>
      <c r="Q49" s="29">
        <f>ROUND(Q10*Assumptions!C23,0)*Assumptions!C12</f>
        <v>1364.09</v>
      </c>
      <c r="R49" s="29">
        <f>ROUND(R10*Assumptions!C23,0)*Assumptions!C12</f>
        <v>1528.98</v>
      </c>
      <c r="S49" s="29">
        <f>ROUND(S10*Assumptions!C23,0)*Assumptions!C12</f>
        <v>1723.8500000000001</v>
      </c>
      <c r="T49" s="29">
        <f>ROUND(T10*Assumptions!C23,0)*Assumptions!C12</f>
        <v>1918.72</v>
      </c>
      <c r="U49" s="29">
        <f>ROUND(U10*Assumptions!C23,0)*Assumptions!C12</f>
        <v>2143.5700000000002</v>
      </c>
      <c r="V49" s="29">
        <f>ROUND(V10*Assumptions!C23,0)*Assumptions!C12</f>
        <v>2383.41</v>
      </c>
      <c r="W49" s="29">
        <f>ROUND(W10*Assumptions!C23,0)*Assumptions!C12</f>
        <v>2653.23</v>
      </c>
      <c r="X49" s="29">
        <f>ROUND(X10*Assumptions!C23,0)*Assumptions!C12</f>
        <v>2938.04</v>
      </c>
      <c r="Y49" s="29">
        <f>ROUND(Y10*Assumptions!C23,0)*Assumptions!C12</f>
        <v>3267.82</v>
      </c>
      <c r="Z49" s="29">
        <f>ROUND(Z10*Assumptions!C23,0)*Assumptions!C12</f>
        <v>3612.59</v>
      </c>
    </row>
    <row r="50" spans="2:26" x14ac:dyDescent="0.55000000000000004">
      <c r="B50" s="5" t="s">
        <v>235</v>
      </c>
      <c r="C50" s="29">
        <f>ROUND(C10*Assumptions!C24,0)*Assumptions!C13</f>
        <v>39.979999999999997</v>
      </c>
      <c r="D50" s="29">
        <f>ROUND(D10*Assumptions!C24,0)*Assumptions!C13</f>
        <v>59.97</v>
      </c>
      <c r="E50" s="29">
        <f>ROUND(E10*Assumptions!C24,0)*Assumptions!C13</f>
        <v>99.949999999999989</v>
      </c>
      <c r="F50" s="29">
        <f>ROUND(F10*Assumptions!C24,0)*Assumptions!C13</f>
        <v>139.92999999999998</v>
      </c>
      <c r="G50" s="29">
        <f>ROUND(G10*Assumptions!C24,0)*Assumptions!C13</f>
        <v>179.91</v>
      </c>
      <c r="H50" s="29">
        <f>ROUND(H10*Assumptions!C24,0)*Assumptions!C13</f>
        <v>239.88</v>
      </c>
      <c r="I50" s="29">
        <f>ROUND(I10*Assumptions!C24,0)*Assumptions!C13</f>
        <v>279.85999999999996</v>
      </c>
      <c r="J50" s="29">
        <f>ROUND(J10*Assumptions!C24,0)*Assumptions!C13</f>
        <v>339.83</v>
      </c>
      <c r="K50" s="29">
        <f>ROUND(K10*Assumptions!C24,0)*Assumptions!C13</f>
        <v>399.79999999999995</v>
      </c>
      <c r="L50" s="29">
        <f>ROUND(L10*Assumptions!C24,0)*Assumptions!C13</f>
        <v>479.76</v>
      </c>
      <c r="M50" s="29">
        <f>ROUND(M10*Assumptions!C24,0)*Assumptions!C13</f>
        <v>539.7299999999999</v>
      </c>
      <c r="N50" s="29">
        <f>ROUND(N10*Assumptions!C24,0)*Assumptions!C13</f>
        <v>619.68999999999994</v>
      </c>
      <c r="O50" s="29">
        <f>ROUND(O10*Assumptions!C24,0)*Assumptions!C13</f>
        <v>719.64</v>
      </c>
      <c r="P50" s="29">
        <f>ROUND(P10*Assumptions!C24,0)*Assumptions!C13</f>
        <v>799.59999999999991</v>
      </c>
      <c r="Q50" s="29">
        <f>ROUND(Q10*Assumptions!C24,0)*Assumptions!C13</f>
        <v>919.54</v>
      </c>
      <c r="R50" s="29">
        <f>ROUND(R10*Assumptions!C24,0)*Assumptions!C13</f>
        <v>1019.4899999999999</v>
      </c>
      <c r="S50" s="29">
        <f>ROUND(S10*Assumptions!C24,0)*Assumptions!C13</f>
        <v>1139.4299999999998</v>
      </c>
      <c r="T50" s="29">
        <f>ROUND(T10*Assumptions!C24,0)*Assumptions!C13</f>
        <v>1279.3599999999999</v>
      </c>
      <c r="U50" s="29">
        <f>ROUND(U10*Assumptions!C24,0)*Assumptions!C13</f>
        <v>1439.28</v>
      </c>
      <c r="V50" s="29">
        <f>ROUND(V10*Assumptions!C24,0)*Assumptions!C13</f>
        <v>1599.1999999999998</v>
      </c>
      <c r="W50" s="29">
        <f>ROUND(W10*Assumptions!C24,0)*Assumptions!C13</f>
        <v>1779.11</v>
      </c>
      <c r="X50" s="29">
        <f>ROUND(X10*Assumptions!C24,0)*Assumptions!C13</f>
        <v>1959.0199999999998</v>
      </c>
      <c r="Y50" s="29">
        <f>ROUND(Y10*Assumptions!C24,0)*Assumptions!C13</f>
        <v>2178.91</v>
      </c>
      <c r="Z50" s="29">
        <f>ROUND(Z10*Assumptions!C24,0)*Assumptions!C13</f>
        <v>2398.7999999999997</v>
      </c>
    </row>
    <row r="51" spans="2:26" x14ac:dyDescent="0.55000000000000004">
      <c r="B51" s="5" t="s">
        <v>236</v>
      </c>
      <c r="C51" s="29">
        <f>ROUND(C9*Assumptions!C25,0)*Assumptions!C14</f>
        <v>114.77000000000001</v>
      </c>
      <c r="D51" s="29">
        <f>ROUND(D9*Assumptions!C25,0)*Assumptions!C14</f>
        <v>124.75</v>
      </c>
      <c r="E51" s="29">
        <f>ROUND(E9*Assumptions!C25,0)*Assumptions!C14</f>
        <v>139.72</v>
      </c>
      <c r="F51" s="29">
        <f>ROUND(F9*Assumptions!C25,0)*Assumptions!C14</f>
        <v>149.70000000000002</v>
      </c>
      <c r="G51" s="29">
        <f>ROUND(G9*Assumptions!C25,0)*Assumptions!C14</f>
        <v>164.67000000000002</v>
      </c>
      <c r="H51" s="29">
        <f>ROUND(H9*Assumptions!C25,0)*Assumptions!C14</f>
        <v>179.64000000000001</v>
      </c>
      <c r="I51" s="29">
        <f>ROUND(I9*Assumptions!C25,0)*Assumptions!C14</f>
        <v>194.61</v>
      </c>
      <c r="J51" s="29">
        <f>ROUND(J9*Assumptions!C25,0)*Assumptions!C14</f>
        <v>209.58</v>
      </c>
      <c r="K51" s="29">
        <f>ROUND(K9*Assumptions!C25,0)*Assumptions!C14</f>
        <v>229.54000000000002</v>
      </c>
      <c r="L51" s="29">
        <f>ROUND(L9*Assumptions!C25,0)*Assumptions!C14</f>
        <v>254.49</v>
      </c>
      <c r="M51" s="29">
        <f>ROUND(M9*Assumptions!C25,0)*Assumptions!C14</f>
        <v>274.45</v>
      </c>
      <c r="N51" s="29">
        <f>ROUND(N9*Assumptions!C25,0)*Assumptions!C14</f>
        <v>299.40000000000003</v>
      </c>
      <c r="O51" s="29">
        <f>ROUND(O9*Assumptions!C25,0)*Assumptions!C14</f>
        <v>329.34000000000003</v>
      </c>
      <c r="P51" s="29">
        <f>ROUND(P9*Assumptions!C25,0)*Assumptions!C14</f>
        <v>354.29</v>
      </c>
      <c r="Q51" s="29">
        <f>ROUND(Q9*Assumptions!C25,0)*Assumptions!C14</f>
        <v>389.22</v>
      </c>
      <c r="R51" s="29">
        <f>ROUND(R9*Assumptions!C25,0)*Assumptions!C14</f>
        <v>424.15000000000003</v>
      </c>
      <c r="S51" s="29">
        <f>ROUND(S9*Assumptions!C25,0)*Assumptions!C14</f>
        <v>464.07</v>
      </c>
      <c r="T51" s="29">
        <f>ROUND(T9*Assumptions!C25,0)*Assumptions!C14</f>
        <v>508.98</v>
      </c>
      <c r="U51" s="29">
        <f>ROUND(U9*Assumptions!C25,0)*Assumptions!C14</f>
        <v>553.89</v>
      </c>
      <c r="V51" s="29">
        <f>ROUND(V9*Assumptions!C25,0)*Assumptions!C14</f>
        <v>603.79000000000008</v>
      </c>
      <c r="W51" s="29">
        <f>ROUND(W9*Assumptions!C25,0)*Assumptions!C14</f>
        <v>663.67000000000007</v>
      </c>
      <c r="X51" s="29">
        <f>ROUND(X9*Assumptions!C25,0)*Assumptions!C14</f>
        <v>723.55000000000007</v>
      </c>
      <c r="Y51" s="29">
        <f>ROUND(Y9*Assumptions!C25,0)*Assumptions!C14</f>
        <v>793.41000000000008</v>
      </c>
      <c r="Z51" s="29">
        <f>ROUND(Z9*Assumptions!C25,0)*Assumptions!C14</f>
        <v>863.27</v>
      </c>
    </row>
    <row r="52" spans="2:26" x14ac:dyDescent="0.55000000000000004">
      <c r="B52" s="30" t="s">
        <v>237</v>
      </c>
      <c r="C52" s="31">
        <f t="shared" ref="C52:Z52" si="11">SUM(C46:C51)</f>
        <v>6048.170000000001</v>
      </c>
      <c r="D52" s="31">
        <f t="shared" si="11"/>
        <v>6682.9699999999993</v>
      </c>
      <c r="E52" s="31">
        <f t="shared" si="11"/>
        <v>7387.73</v>
      </c>
      <c r="F52" s="31">
        <f t="shared" si="11"/>
        <v>8132.49</v>
      </c>
      <c r="G52" s="31">
        <f t="shared" si="11"/>
        <v>8997.2099999999991</v>
      </c>
      <c r="H52" s="31">
        <f t="shared" si="11"/>
        <v>9941.909999999998</v>
      </c>
      <c r="I52" s="31">
        <f t="shared" si="11"/>
        <v>10911.6</v>
      </c>
      <c r="J52" s="31">
        <f t="shared" si="11"/>
        <v>12061.24</v>
      </c>
      <c r="K52" s="31">
        <f t="shared" si="11"/>
        <v>13290.85</v>
      </c>
      <c r="L52" s="31">
        <f t="shared" si="11"/>
        <v>14705.4</v>
      </c>
      <c r="M52" s="31">
        <f t="shared" si="11"/>
        <v>16124.96</v>
      </c>
      <c r="N52" s="31">
        <f t="shared" si="11"/>
        <v>17729.46</v>
      </c>
      <c r="O52" s="31">
        <f t="shared" si="11"/>
        <v>19478.899999999998</v>
      </c>
      <c r="P52" s="31">
        <f t="shared" si="11"/>
        <v>21363.319999999996</v>
      </c>
      <c r="Q52" s="31">
        <f t="shared" si="11"/>
        <v>23517.65</v>
      </c>
      <c r="R52" s="31">
        <f t="shared" si="11"/>
        <v>25841.940000000002</v>
      </c>
      <c r="S52" s="31">
        <f t="shared" si="11"/>
        <v>28441.14</v>
      </c>
      <c r="T52" s="31">
        <f t="shared" si="11"/>
        <v>31240.28</v>
      </c>
      <c r="U52" s="31">
        <f t="shared" si="11"/>
        <v>34379.33</v>
      </c>
      <c r="V52" s="31">
        <f t="shared" si="11"/>
        <v>37758.30999999999</v>
      </c>
      <c r="W52" s="31">
        <f t="shared" si="11"/>
        <v>41517.17</v>
      </c>
      <c r="X52" s="31">
        <f t="shared" si="11"/>
        <v>45655.939999999995</v>
      </c>
      <c r="Y52" s="31">
        <f t="shared" si="11"/>
        <v>50209.570000000007</v>
      </c>
      <c r="Z52" s="31">
        <f t="shared" si="11"/>
        <v>55143.109999999993</v>
      </c>
    </row>
    <row r="54" spans="2:26" ht="16.8" x14ac:dyDescent="0.65">
      <c r="B54" s="3" t="s">
        <v>238</v>
      </c>
    </row>
    <row r="55" spans="2:26" x14ac:dyDescent="0.55000000000000004">
      <c r="B55" s="5" t="s">
        <v>239</v>
      </c>
      <c r="C55" s="29">
        <f>C6*Assumptions!D6</f>
        <v>850</v>
      </c>
      <c r="D55" s="29">
        <f>D6*Assumptions!D6</f>
        <v>918</v>
      </c>
      <c r="E55" s="29">
        <f>E6*Assumptions!D6</f>
        <v>994.5</v>
      </c>
      <c r="F55" s="29">
        <f>F6*Assumptions!D6</f>
        <v>1071</v>
      </c>
      <c r="G55" s="29">
        <f>G6*Assumptions!D6</f>
        <v>1156</v>
      </c>
      <c r="H55" s="29">
        <f>H6*Assumptions!D6</f>
        <v>1249.5</v>
      </c>
      <c r="I55" s="29">
        <f>I6*Assumptions!D6</f>
        <v>1351.5</v>
      </c>
      <c r="J55" s="29">
        <f>J6*Assumptions!D6</f>
        <v>1462</v>
      </c>
      <c r="K55" s="29">
        <f>K6*Assumptions!D6</f>
        <v>1581</v>
      </c>
      <c r="L55" s="29">
        <f>L6*Assumptions!D6</f>
        <v>1708.5</v>
      </c>
      <c r="M55" s="29">
        <f>M6*Assumptions!D6</f>
        <v>1844.5</v>
      </c>
      <c r="N55" s="29">
        <f>N6*Assumptions!D6</f>
        <v>1989</v>
      </c>
      <c r="O55" s="29">
        <f>O6*Assumptions!D6</f>
        <v>2150.5</v>
      </c>
      <c r="P55" s="29">
        <f>P6*Assumptions!D6</f>
        <v>2320.5</v>
      </c>
      <c r="Q55" s="29">
        <f>Q6*Assumptions!D6</f>
        <v>2507.5</v>
      </c>
      <c r="R55" s="29">
        <f>R6*Assumptions!D6</f>
        <v>2711.5</v>
      </c>
      <c r="S55" s="29">
        <f>S6*Assumptions!D6</f>
        <v>2932.5</v>
      </c>
      <c r="T55" s="29">
        <f>T6*Assumptions!D6</f>
        <v>3170.5</v>
      </c>
      <c r="U55" s="29">
        <f>U6*Assumptions!D6</f>
        <v>3425.5</v>
      </c>
      <c r="V55" s="29">
        <f>V6*Assumptions!D6</f>
        <v>3697.5</v>
      </c>
      <c r="W55" s="29">
        <f>W6*Assumptions!D6</f>
        <v>3995</v>
      </c>
      <c r="X55" s="29">
        <f>X6*Assumptions!D6</f>
        <v>4318</v>
      </c>
      <c r="Y55" s="29">
        <f>Y6*Assumptions!D6</f>
        <v>4666.5</v>
      </c>
      <c r="Z55" s="29">
        <f>Z6*Assumptions!D6</f>
        <v>5040.5</v>
      </c>
    </row>
    <row r="56" spans="2:26" x14ac:dyDescent="0.55000000000000004">
      <c r="B56" s="5" t="s">
        <v>240</v>
      </c>
      <c r="C56" s="29">
        <f>C7*Assumptions!D7</f>
        <v>340</v>
      </c>
      <c r="D56" s="29">
        <f>D7*Assumptions!D7</f>
        <v>374</v>
      </c>
      <c r="E56" s="29">
        <f>E7*Assumptions!D7</f>
        <v>408</v>
      </c>
      <c r="F56" s="29">
        <f>F7*Assumptions!D7</f>
        <v>450.5</v>
      </c>
      <c r="G56" s="29">
        <f>G7*Assumptions!D7</f>
        <v>493</v>
      </c>
      <c r="H56" s="29">
        <f>H7*Assumptions!D7</f>
        <v>544</v>
      </c>
      <c r="I56" s="29">
        <f>I7*Assumptions!D7</f>
        <v>595</v>
      </c>
      <c r="J56" s="29">
        <f>J7*Assumptions!D7</f>
        <v>654.5</v>
      </c>
      <c r="K56" s="29">
        <f>K7*Assumptions!D7</f>
        <v>722.5</v>
      </c>
      <c r="L56" s="29">
        <f>L7*Assumptions!D7</f>
        <v>799</v>
      </c>
      <c r="M56" s="29">
        <f>M7*Assumptions!D7</f>
        <v>875.5</v>
      </c>
      <c r="N56" s="29">
        <f>N7*Assumptions!D7</f>
        <v>960.5</v>
      </c>
      <c r="O56" s="29">
        <f>O7*Assumptions!D7</f>
        <v>1054</v>
      </c>
      <c r="P56" s="29">
        <f>P7*Assumptions!D7</f>
        <v>1156</v>
      </c>
      <c r="Q56" s="29">
        <f>Q7*Assumptions!D7</f>
        <v>1275</v>
      </c>
      <c r="R56" s="29">
        <f>R7*Assumptions!D7</f>
        <v>1402.5</v>
      </c>
      <c r="S56" s="29">
        <f>S7*Assumptions!D7</f>
        <v>1547</v>
      </c>
      <c r="T56" s="29">
        <f>T7*Assumptions!D7</f>
        <v>1700</v>
      </c>
      <c r="U56" s="29">
        <f>U7*Assumptions!D7</f>
        <v>1870</v>
      </c>
      <c r="V56" s="29">
        <f>V7*Assumptions!D7</f>
        <v>2057</v>
      </c>
      <c r="W56" s="29">
        <f>W7*Assumptions!D7</f>
        <v>2261</v>
      </c>
      <c r="X56" s="29">
        <f>X7*Assumptions!D7</f>
        <v>2490.5</v>
      </c>
      <c r="Y56" s="29">
        <f>Y7*Assumptions!D7</f>
        <v>2737</v>
      </c>
      <c r="Z56" s="29">
        <f>Z7*Assumptions!D7</f>
        <v>3009</v>
      </c>
    </row>
    <row r="57" spans="2:26" x14ac:dyDescent="0.55000000000000004">
      <c r="B57" s="5" t="s">
        <v>241</v>
      </c>
      <c r="C57" s="29">
        <f>C8*Assumptions!D8</f>
        <v>135</v>
      </c>
      <c r="D57" s="29">
        <f>D8*Assumptions!D8</f>
        <v>153</v>
      </c>
      <c r="E57" s="29">
        <f>E8*Assumptions!D8</f>
        <v>171</v>
      </c>
      <c r="F57" s="29">
        <f>F8*Assumptions!D8</f>
        <v>189</v>
      </c>
      <c r="G57" s="29">
        <f>G8*Assumptions!D8</f>
        <v>216</v>
      </c>
      <c r="H57" s="29">
        <f>H8*Assumptions!D8</f>
        <v>243</v>
      </c>
      <c r="I57" s="29">
        <f>I8*Assumptions!D8</f>
        <v>270</v>
      </c>
      <c r="J57" s="29">
        <f>J8*Assumptions!D8</f>
        <v>306</v>
      </c>
      <c r="K57" s="29">
        <f>K8*Assumptions!D8</f>
        <v>342</v>
      </c>
      <c r="L57" s="29">
        <f>L8*Assumptions!D8</f>
        <v>387</v>
      </c>
      <c r="M57" s="29">
        <f>M8*Assumptions!D8</f>
        <v>432</v>
      </c>
      <c r="N57" s="29">
        <f>N8*Assumptions!D8</f>
        <v>486</v>
      </c>
      <c r="O57" s="29">
        <f>O8*Assumptions!D8</f>
        <v>540</v>
      </c>
      <c r="P57" s="29">
        <f>P8*Assumptions!D8</f>
        <v>603</v>
      </c>
      <c r="Q57" s="29">
        <f>Q8*Assumptions!D8</f>
        <v>675</v>
      </c>
      <c r="R57" s="29">
        <f>R8*Assumptions!D8</f>
        <v>756</v>
      </c>
      <c r="S57" s="29">
        <f>S8*Assumptions!D8</f>
        <v>846</v>
      </c>
      <c r="T57" s="29">
        <f>T8*Assumptions!D8</f>
        <v>945</v>
      </c>
      <c r="U57" s="29">
        <f>U8*Assumptions!D8</f>
        <v>1062</v>
      </c>
      <c r="V57" s="29">
        <f>V8*Assumptions!D8</f>
        <v>1188</v>
      </c>
      <c r="W57" s="29">
        <f>W8*Assumptions!D8</f>
        <v>1332</v>
      </c>
      <c r="X57" s="29">
        <f>X8*Assumptions!D8</f>
        <v>1494</v>
      </c>
      <c r="Y57" s="29">
        <f>Y8*Assumptions!D8</f>
        <v>1674</v>
      </c>
      <c r="Z57" s="29">
        <f>Z8*Assumptions!D8</f>
        <v>1872</v>
      </c>
    </row>
    <row r="58" spans="2:26" x14ac:dyDescent="0.55000000000000004">
      <c r="B58" s="5" t="s">
        <v>242</v>
      </c>
      <c r="C58" s="29">
        <f>ROUND(C10*Assumptions!C23,0)*Assumptions!D12+ROUND(C10*Assumptions!C24,0)*Assumptions!D13+ROUND(C9*Assumptions!C25,0)*Assumptions!D14</f>
        <v>38.5</v>
      </c>
      <c r="D58" s="29">
        <f>ROUND(D10*Assumptions!C23,0)*Assumptions!D12+ROUND(D10*Assumptions!C24,0)*Assumptions!D13+ROUND(D9*Assumptions!C25,0)*Assumptions!D14</f>
        <v>45</v>
      </c>
      <c r="E58" s="29">
        <f>ROUND(E10*Assumptions!C23,0)*Assumptions!D12+ROUND(E10*Assumptions!C24,0)*Assumptions!D13+ROUND(E9*Assumptions!C25,0)*Assumptions!D14</f>
        <v>54.5</v>
      </c>
      <c r="F58" s="29">
        <f>ROUND(F10*Assumptions!C23,0)*Assumptions!D12+ROUND(F10*Assumptions!C24,0)*Assumptions!D13+ROUND(F9*Assumptions!C25,0)*Assumptions!D14</f>
        <v>62.5</v>
      </c>
      <c r="G58" s="29">
        <f>ROUND(G10*Assumptions!C23,0)*Assumptions!D12+ROUND(G10*Assumptions!C24,0)*Assumptions!D13+ROUND(G9*Assumptions!C25,0)*Assumptions!D14</f>
        <v>73</v>
      </c>
      <c r="H58" s="29">
        <f>ROUND(H10*Assumptions!C23,0)*Assumptions!D12+ROUND(H10*Assumptions!C24,0)*Assumptions!D13+ROUND(H9*Assumptions!C25,0)*Assumptions!D14</f>
        <v>83</v>
      </c>
      <c r="I58" s="29">
        <f>ROUND(I10*Assumptions!C23,0)*Assumptions!D12+ROUND(I10*Assumptions!C24,0)*Assumptions!D13+ROUND(I9*Assumptions!C25,0)*Assumptions!D14</f>
        <v>93.5</v>
      </c>
      <c r="J58" s="29">
        <f>ROUND(J10*Assumptions!C23,0)*Assumptions!D12+ROUND(J10*Assumptions!C24,0)*Assumptions!D13+ROUND(J9*Assumptions!C25,0)*Assumptions!D14</f>
        <v>105.5</v>
      </c>
      <c r="K58" s="29">
        <f>ROUND(K10*Assumptions!C23,0)*Assumptions!D12+ROUND(K10*Assumptions!C24,0)*Assumptions!D13+ROUND(K9*Assumptions!C25,0)*Assumptions!D14</f>
        <v>119</v>
      </c>
      <c r="L58" s="29">
        <f>ROUND(L10*Assumptions!C23,0)*Assumptions!D12+ROUND(L10*Assumptions!C24,0)*Assumptions!D13+ROUND(L9*Assumptions!C25,0)*Assumptions!D14</f>
        <v>135.5</v>
      </c>
      <c r="M58" s="29">
        <f>ROUND(M10*Assumptions!C23,0)*Assumptions!D12+ROUND(M10*Assumptions!C24,0)*Assumptions!D13+ROUND(M9*Assumptions!C25,0)*Assumptions!D14</f>
        <v>150</v>
      </c>
      <c r="N58" s="29">
        <f>ROUND(N10*Assumptions!C23,0)*Assumptions!D12+ROUND(N10*Assumptions!C24,0)*Assumptions!D13+ROUND(N9*Assumptions!C25,0)*Assumptions!D14</f>
        <v>167.5</v>
      </c>
      <c r="O58" s="29">
        <f>ROUND(O10*Assumptions!C23,0)*Assumptions!D12+ROUND(O10*Assumptions!C24,0)*Assumptions!D13+ROUND(O9*Assumptions!C25,0)*Assumptions!D14</f>
        <v>188</v>
      </c>
      <c r="P58" s="29">
        <f>ROUND(P10*Assumptions!C23,0)*Assumptions!D12+ROUND(P10*Assumptions!C24,0)*Assumptions!D13+ROUND(P9*Assumptions!C25,0)*Assumptions!D14</f>
        <v>207.5</v>
      </c>
      <c r="Q58" s="29">
        <f>ROUND(Q10*Assumptions!C23,0)*Assumptions!D12+ROUND(Q10*Assumptions!C24,0)*Assumptions!D13+ROUND(Q9*Assumptions!C25,0)*Assumptions!D14</f>
        <v>231</v>
      </c>
      <c r="R58" s="29">
        <f>ROUND(R10*Assumptions!C23,0)*Assumptions!D12+ROUND(R10*Assumptions!C24,0)*Assumptions!D13+ROUND(R9*Assumptions!C25,0)*Assumptions!D14</f>
        <v>255</v>
      </c>
      <c r="S58" s="29">
        <f>ROUND(S10*Assumptions!C23,0)*Assumptions!D12+ROUND(S10*Assumptions!C24,0)*Assumptions!D13+ROUND(S9*Assumptions!C25,0)*Assumptions!D14</f>
        <v>283</v>
      </c>
      <c r="T58" s="29">
        <f>ROUND(T10*Assumptions!C23,0)*Assumptions!D12+ROUND(T10*Assumptions!C24,0)*Assumptions!D13+ROUND(T9*Assumptions!C25,0)*Assumptions!D14</f>
        <v>313</v>
      </c>
      <c r="U58" s="29">
        <f>ROUND(U10*Assumptions!C23,0)*Assumptions!D12+ROUND(U10*Assumptions!C24,0)*Assumptions!D13+ROUND(U9*Assumptions!C25,0)*Assumptions!D14</f>
        <v>345.5</v>
      </c>
      <c r="V58" s="29">
        <f>ROUND(V10*Assumptions!C23,0)*Assumptions!D12+ROUND(V10*Assumptions!C24,0)*Assumptions!D13+ROUND(V9*Assumptions!C25,0)*Assumptions!D14</f>
        <v>380.5</v>
      </c>
      <c r="W58" s="29">
        <f>ROUND(W10*Assumptions!C23,0)*Assumptions!D12+ROUND(W10*Assumptions!C24,0)*Assumptions!D13+ROUND(W9*Assumptions!C25,0)*Assumptions!D14</f>
        <v>421</v>
      </c>
      <c r="X58" s="29">
        <f>ROUND(X10*Assumptions!C23,0)*Assumptions!D12+ROUND(X10*Assumptions!C24,0)*Assumptions!D13+ROUND(X9*Assumptions!C25,0)*Assumptions!D14</f>
        <v>462.5</v>
      </c>
      <c r="Y58" s="29">
        <f>ROUND(Y10*Assumptions!C23,0)*Assumptions!D12+ROUND(Y10*Assumptions!C24,0)*Assumptions!D13+ROUND(Y9*Assumptions!C25,0)*Assumptions!D14</f>
        <v>511</v>
      </c>
      <c r="Z58" s="29">
        <f>ROUND(Z10*Assumptions!C23,0)*Assumptions!D12+ROUND(Z10*Assumptions!C24,0)*Assumptions!D13+ROUND(Z9*Assumptions!C25,0)*Assumptions!D14</f>
        <v>560.5</v>
      </c>
    </row>
    <row r="59" spans="2:26" x14ac:dyDescent="0.55000000000000004">
      <c r="B59" s="27" t="s">
        <v>243</v>
      </c>
      <c r="C59" s="32">
        <f t="shared" ref="C59:Z59" si="12">SUM(C55:C58)</f>
        <v>1363.5</v>
      </c>
      <c r="D59" s="32">
        <f t="shared" si="12"/>
        <v>1490</v>
      </c>
      <c r="E59" s="32">
        <f t="shared" si="12"/>
        <v>1628</v>
      </c>
      <c r="F59" s="32">
        <f t="shared" si="12"/>
        <v>1773</v>
      </c>
      <c r="G59" s="32">
        <f t="shared" si="12"/>
        <v>1938</v>
      </c>
      <c r="H59" s="32">
        <f t="shared" si="12"/>
        <v>2119.5</v>
      </c>
      <c r="I59" s="32">
        <f t="shared" si="12"/>
        <v>2310</v>
      </c>
      <c r="J59" s="32">
        <f t="shared" si="12"/>
        <v>2528</v>
      </c>
      <c r="K59" s="32">
        <f t="shared" si="12"/>
        <v>2764.5</v>
      </c>
      <c r="L59" s="32">
        <f t="shared" si="12"/>
        <v>3030</v>
      </c>
      <c r="M59" s="32">
        <f t="shared" si="12"/>
        <v>3302</v>
      </c>
      <c r="N59" s="32">
        <f t="shared" si="12"/>
        <v>3603</v>
      </c>
      <c r="O59" s="32">
        <f t="shared" si="12"/>
        <v>3932.5</v>
      </c>
      <c r="P59" s="32">
        <f t="shared" si="12"/>
        <v>4287</v>
      </c>
      <c r="Q59" s="32">
        <f t="shared" si="12"/>
        <v>4688.5</v>
      </c>
      <c r="R59" s="32">
        <f t="shared" si="12"/>
        <v>5125</v>
      </c>
      <c r="S59" s="32">
        <f t="shared" si="12"/>
        <v>5608.5</v>
      </c>
      <c r="T59" s="32">
        <f t="shared" si="12"/>
        <v>6128.5</v>
      </c>
      <c r="U59" s="32">
        <f t="shared" si="12"/>
        <v>6703</v>
      </c>
      <c r="V59" s="32">
        <f t="shared" si="12"/>
        <v>7323</v>
      </c>
      <c r="W59" s="32">
        <f t="shared" si="12"/>
        <v>8009</v>
      </c>
      <c r="X59" s="32">
        <f t="shared" si="12"/>
        <v>8765</v>
      </c>
      <c r="Y59" s="32">
        <f t="shared" si="12"/>
        <v>9588.5</v>
      </c>
      <c r="Z59" s="32">
        <f t="shared" si="12"/>
        <v>10482</v>
      </c>
    </row>
    <row r="60" spans="2:26" x14ac:dyDescent="0.55000000000000004">
      <c r="B60" s="30" t="s">
        <v>244</v>
      </c>
      <c r="C60" s="31">
        <f t="shared" ref="C60:Z60" si="13">C52-C59</f>
        <v>4684.670000000001</v>
      </c>
      <c r="D60" s="31">
        <f t="shared" si="13"/>
        <v>5192.9699999999993</v>
      </c>
      <c r="E60" s="31">
        <f t="shared" si="13"/>
        <v>5759.73</v>
      </c>
      <c r="F60" s="31">
        <f t="shared" si="13"/>
        <v>6359.49</v>
      </c>
      <c r="G60" s="31">
        <f t="shared" si="13"/>
        <v>7059.2099999999991</v>
      </c>
      <c r="H60" s="31">
        <f t="shared" si="13"/>
        <v>7822.409999999998</v>
      </c>
      <c r="I60" s="31">
        <f t="shared" si="13"/>
        <v>8601.6</v>
      </c>
      <c r="J60" s="31">
        <f t="shared" si="13"/>
        <v>9533.24</v>
      </c>
      <c r="K60" s="31">
        <f t="shared" si="13"/>
        <v>10526.35</v>
      </c>
      <c r="L60" s="31">
        <f t="shared" si="13"/>
        <v>11675.4</v>
      </c>
      <c r="M60" s="31">
        <f t="shared" si="13"/>
        <v>12822.96</v>
      </c>
      <c r="N60" s="31">
        <f t="shared" si="13"/>
        <v>14126.46</v>
      </c>
      <c r="O60" s="31">
        <f t="shared" si="13"/>
        <v>15546.399999999998</v>
      </c>
      <c r="P60" s="31">
        <f t="shared" si="13"/>
        <v>17076.319999999996</v>
      </c>
      <c r="Q60" s="31">
        <f t="shared" si="13"/>
        <v>18829.150000000001</v>
      </c>
      <c r="R60" s="31">
        <f t="shared" si="13"/>
        <v>20716.940000000002</v>
      </c>
      <c r="S60" s="31">
        <f t="shared" si="13"/>
        <v>22832.639999999999</v>
      </c>
      <c r="T60" s="31">
        <f t="shared" si="13"/>
        <v>25111.78</v>
      </c>
      <c r="U60" s="31">
        <f t="shared" si="13"/>
        <v>27676.33</v>
      </c>
      <c r="V60" s="31">
        <f t="shared" si="13"/>
        <v>30435.30999999999</v>
      </c>
      <c r="W60" s="31">
        <f t="shared" si="13"/>
        <v>33508.17</v>
      </c>
      <c r="X60" s="31">
        <f t="shared" si="13"/>
        <v>36890.939999999995</v>
      </c>
      <c r="Y60" s="31">
        <f t="shared" si="13"/>
        <v>40621.070000000007</v>
      </c>
      <c r="Z60" s="31">
        <f t="shared" si="13"/>
        <v>44661.109999999993</v>
      </c>
    </row>
    <row r="61" spans="2:26" x14ac:dyDescent="0.55000000000000004">
      <c r="B61" s="12" t="s">
        <v>245</v>
      </c>
      <c r="C61" s="13">
        <f t="shared" ref="C61:Z61" si="14">IF(C52&gt;0,C60/C52,0)</f>
        <v>0.77455990820363851</v>
      </c>
      <c r="D61" s="13">
        <f t="shared" si="14"/>
        <v>0.77704523587566598</v>
      </c>
      <c r="E61" s="13">
        <f t="shared" si="14"/>
        <v>0.7796346103606927</v>
      </c>
      <c r="F61" s="13">
        <f t="shared" si="14"/>
        <v>0.78198559112891619</v>
      </c>
      <c r="G61" s="13">
        <f t="shared" si="14"/>
        <v>0.78459989263338303</v>
      </c>
      <c r="H61" s="13">
        <f t="shared" si="14"/>
        <v>0.78681158851769928</v>
      </c>
      <c r="I61" s="13">
        <f t="shared" si="14"/>
        <v>0.78829869130100083</v>
      </c>
      <c r="J61" s="13">
        <f t="shared" si="14"/>
        <v>0.7904029768083547</v>
      </c>
      <c r="K61" s="13">
        <f t="shared" si="14"/>
        <v>0.7919997592328557</v>
      </c>
      <c r="L61" s="13">
        <f t="shared" si="14"/>
        <v>0.79395324166632664</v>
      </c>
      <c r="M61" s="13">
        <f t="shared" si="14"/>
        <v>0.79522429823081731</v>
      </c>
      <c r="N61" s="13">
        <f t="shared" si="14"/>
        <v>0.79677892050857724</v>
      </c>
      <c r="O61" s="13">
        <f t="shared" si="14"/>
        <v>0.79811488328396363</v>
      </c>
      <c r="P61" s="13">
        <f t="shared" si="14"/>
        <v>0.79932894325413839</v>
      </c>
      <c r="Q61" s="13">
        <f t="shared" si="14"/>
        <v>0.80063909446734682</v>
      </c>
      <c r="R61" s="13">
        <f t="shared" si="14"/>
        <v>0.80167897611402239</v>
      </c>
      <c r="S61" s="13">
        <f t="shared" si="14"/>
        <v>0.80280326316033745</v>
      </c>
      <c r="T61" s="13">
        <f t="shared" si="14"/>
        <v>0.80382698234458849</v>
      </c>
      <c r="U61" s="13">
        <f t="shared" si="14"/>
        <v>0.80502819572109174</v>
      </c>
      <c r="V61" s="13">
        <f t="shared" si="14"/>
        <v>0.80605593841461654</v>
      </c>
      <c r="W61" s="13">
        <f t="shared" si="14"/>
        <v>0.80709186103002684</v>
      </c>
      <c r="X61" s="13">
        <f t="shared" si="14"/>
        <v>0.80802059929113279</v>
      </c>
      <c r="Y61" s="13">
        <f t="shared" si="14"/>
        <v>0.80903042985630036</v>
      </c>
      <c r="Z61" s="13">
        <f t="shared" si="14"/>
        <v>0.80991278874187544</v>
      </c>
    </row>
    <row r="63" spans="2:26" ht="16.8" x14ac:dyDescent="0.65">
      <c r="B63" s="3" t="s">
        <v>246</v>
      </c>
    </row>
    <row r="64" spans="2:26" x14ac:dyDescent="0.55000000000000004">
      <c r="B64" s="5" t="s">
        <v>247</v>
      </c>
      <c r="C64" s="29">
        <f t="shared" ref="C64:Z64" si="15">C43</f>
        <v>25.058617382213377</v>
      </c>
      <c r="D64" s="29">
        <f t="shared" si="15"/>
        <v>25.11925359868933</v>
      </c>
      <c r="E64" s="29">
        <f t="shared" si="15"/>
        <v>25.26327476291992</v>
      </c>
      <c r="F64" s="29">
        <f t="shared" si="15"/>
        <v>25.416617769699464</v>
      </c>
      <c r="G64" s="29">
        <f t="shared" si="15"/>
        <v>25.585298379251832</v>
      </c>
      <c r="H64" s="29">
        <f t="shared" si="15"/>
        <v>25.769029807925904</v>
      </c>
      <c r="I64" s="29">
        <f t="shared" si="15"/>
        <v>25.969239413508056</v>
      </c>
      <c r="J64" s="29">
        <f t="shared" si="15"/>
        <v>26.188238599998289</v>
      </c>
      <c r="K64" s="29">
        <f t="shared" si="15"/>
        <v>26.42714503565686</v>
      </c>
      <c r="L64" s="29">
        <f t="shared" si="15"/>
        <v>26.688594433376952</v>
      </c>
      <c r="M64" s="29">
        <f t="shared" si="15"/>
        <v>26.972921877757447</v>
      </c>
      <c r="N64" s="29">
        <f t="shared" si="15"/>
        <v>27.283136562584716</v>
      </c>
      <c r="O64" s="29">
        <f t="shared" si="15"/>
        <v>27.621135516457642</v>
      </c>
      <c r="P64" s="29">
        <f t="shared" si="15"/>
        <v>27.988931962698974</v>
      </c>
      <c r="Q64" s="29">
        <f t="shared" si="15"/>
        <v>28.39091250586328</v>
      </c>
      <c r="R64" s="29">
        <f t="shared" si="15"/>
        <v>28.830059253273316</v>
      </c>
      <c r="S64" s="29">
        <f t="shared" si="15"/>
        <v>29.310145126421144</v>
      </c>
      <c r="T64" s="29">
        <f t="shared" si="15"/>
        <v>29.834504791353393</v>
      </c>
      <c r="U64" s="29">
        <f t="shared" si="15"/>
        <v>30.407441457562133</v>
      </c>
      <c r="V64" s="29">
        <f t="shared" si="15"/>
        <v>31.032916296370118</v>
      </c>
      <c r="W64" s="29">
        <f t="shared" si="15"/>
        <v>31.716598681485351</v>
      </c>
      <c r="X64" s="29">
        <f t="shared" si="15"/>
        <v>32.464512318061281</v>
      </c>
      <c r="Y64" s="29">
        <f t="shared" si="15"/>
        <v>33.281974284144532</v>
      </c>
      <c r="Z64" s="29">
        <f t="shared" si="15"/>
        <v>34.175278470380619</v>
      </c>
    </row>
    <row r="65" spans="2:26" x14ac:dyDescent="0.55000000000000004">
      <c r="B65" s="5" t="s">
        <v>136</v>
      </c>
      <c r="C65" s="29">
        <f>Assumptions!C85</f>
        <v>500</v>
      </c>
      <c r="D65" s="29">
        <f>ROUND(C65*(1+Assumptions!D85),0)</f>
        <v>525</v>
      </c>
      <c r="E65" s="29">
        <f>ROUND(D65*(1+Assumptions!D85),0)</f>
        <v>551</v>
      </c>
      <c r="F65" s="29">
        <f>ROUND(E65*(1+Assumptions!D85),0)</f>
        <v>579</v>
      </c>
      <c r="G65" s="29">
        <f>ROUND(F65*(1+Assumptions!D85),0)</f>
        <v>608</v>
      </c>
      <c r="H65" s="29">
        <f>ROUND(G65*(1+Assumptions!D85),0)</f>
        <v>638</v>
      </c>
      <c r="I65" s="29">
        <f>ROUND(H65*(1+Assumptions!D85),0)</f>
        <v>670</v>
      </c>
      <c r="J65" s="29">
        <f>ROUND(I65*(1+Assumptions!D85),0)</f>
        <v>704</v>
      </c>
      <c r="K65" s="29">
        <f>ROUND(J65*(1+Assumptions!D85),0)</f>
        <v>739</v>
      </c>
      <c r="L65" s="29">
        <f>ROUND(K65*(1+Assumptions!D85),0)</f>
        <v>776</v>
      </c>
      <c r="M65" s="29">
        <f>ROUND(L65*(1+Assumptions!D85),0)</f>
        <v>815</v>
      </c>
      <c r="N65" s="29">
        <f>ROUND(M65*(1+Assumptions!D85),0)</f>
        <v>856</v>
      </c>
      <c r="O65" s="29">
        <f>ROUND(N65*(1+Assumptions!D85),0)</f>
        <v>899</v>
      </c>
      <c r="P65" s="29">
        <f>ROUND(O65*(1+Assumptions!D85),0)</f>
        <v>944</v>
      </c>
      <c r="Q65" s="29">
        <f>ROUND(P65*(1+Assumptions!D85),0)</f>
        <v>991</v>
      </c>
      <c r="R65" s="29">
        <f>ROUND(Q65*(1+Assumptions!D85),0)</f>
        <v>1041</v>
      </c>
      <c r="S65" s="29">
        <f>ROUND(R65*(1+Assumptions!D85),0)</f>
        <v>1093</v>
      </c>
      <c r="T65" s="29">
        <f>ROUND(S65*(1+Assumptions!D85),0)</f>
        <v>1148</v>
      </c>
      <c r="U65" s="29">
        <f>ROUND(T65*(1+Assumptions!D85),0)</f>
        <v>1205</v>
      </c>
      <c r="V65" s="29">
        <f>ROUND(U65*(1+Assumptions!D85),0)</f>
        <v>1265</v>
      </c>
      <c r="W65" s="29">
        <f>ROUND(V65*(1+Assumptions!D85),0)</f>
        <v>1328</v>
      </c>
      <c r="X65" s="29">
        <f>ROUND(W65*(1+Assumptions!D85),0)</f>
        <v>1394</v>
      </c>
      <c r="Y65" s="29">
        <f>ROUND(X65*(1+Assumptions!D85),0)</f>
        <v>1464</v>
      </c>
      <c r="Z65" s="29">
        <f>ROUND(Y65*(1+Assumptions!D85),0)</f>
        <v>1537</v>
      </c>
    </row>
    <row r="66" spans="2:26" x14ac:dyDescent="0.55000000000000004">
      <c r="B66" s="5" t="s">
        <v>248</v>
      </c>
      <c r="C66" s="29">
        <f>C9*Assumptions!C86</f>
        <v>542.5</v>
      </c>
      <c r="D66" s="29">
        <f>D9*Assumptions!C86</f>
        <v>591.5</v>
      </c>
      <c r="E66" s="29">
        <f>E9*Assumptions!C86</f>
        <v>644</v>
      </c>
      <c r="F66" s="29">
        <f>F9*Assumptions!C86</f>
        <v>700</v>
      </c>
      <c r="G66" s="29">
        <f>G9*Assumptions!C86</f>
        <v>763</v>
      </c>
      <c r="H66" s="29">
        <f>H9*Assumptions!C86</f>
        <v>833</v>
      </c>
      <c r="I66" s="29">
        <f>I9*Assumptions!C86</f>
        <v>906.5</v>
      </c>
      <c r="J66" s="29">
        <f>J9*Assumptions!C86</f>
        <v>990.5</v>
      </c>
      <c r="K66" s="29">
        <f>K9*Assumptions!C86</f>
        <v>1081.5</v>
      </c>
      <c r="L66" s="29">
        <f>L9*Assumptions!C86</f>
        <v>1183</v>
      </c>
      <c r="M66" s="29">
        <f>M9*Assumptions!C86</f>
        <v>1288</v>
      </c>
      <c r="N66" s="29">
        <f>N9*Assumptions!C86</f>
        <v>1403.5</v>
      </c>
      <c r="O66" s="29">
        <f>O9*Assumptions!C86</f>
        <v>1529.5</v>
      </c>
      <c r="P66" s="29">
        <f>P9*Assumptions!C86</f>
        <v>1666</v>
      </c>
      <c r="Q66" s="29">
        <f>Q9*Assumptions!C86</f>
        <v>1820</v>
      </c>
      <c r="R66" s="29">
        <f>R9*Assumptions!C86</f>
        <v>1988</v>
      </c>
      <c r="S66" s="29">
        <f>S9*Assumptions!C86</f>
        <v>2173.5</v>
      </c>
      <c r="T66" s="29">
        <f>T9*Assumptions!C86</f>
        <v>2373</v>
      </c>
      <c r="U66" s="29">
        <f>U9*Assumptions!C86</f>
        <v>2593.5</v>
      </c>
      <c r="V66" s="29">
        <f>V9*Assumptions!C86</f>
        <v>2831.5</v>
      </c>
      <c r="W66" s="29">
        <f>W9*Assumptions!C86</f>
        <v>3094</v>
      </c>
      <c r="X66" s="29">
        <f>X9*Assumptions!C86</f>
        <v>3384.5</v>
      </c>
      <c r="Y66" s="29">
        <f>Y9*Assumptions!C86</f>
        <v>3699.5</v>
      </c>
      <c r="Z66" s="29">
        <f>Z9*Assumptions!C86</f>
        <v>4042.5</v>
      </c>
    </row>
    <row r="67" spans="2:26" x14ac:dyDescent="0.55000000000000004">
      <c r="B67" s="5" t="s">
        <v>249</v>
      </c>
      <c r="C67" s="29">
        <f>C52*Assumptions!C87</f>
        <v>175.39693000000003</v>
      </c>
      <c r="D67" s="29">
        <f>D52*Assumptions!C87</f>
        <v>193.80613</v>
      </c>
      <c r="E67" s="29">
        <f>E52*Assumptions!C87</f>
        <v>214.24417</v>
      </c>
      <c r="F67" s="29">
        <f>F52*Assumptions!C87</f>
        <v>235.84220999999999</v>
      </c>
      <c r="G67" s="29">
        <f>G52*Assumptions!C87</f>
        <v>260.91908999999998</v>
      </c>
      <c r="H67" s="29">
        <f>H52*Assumptions!C87</f>
        <v>288.31538999999998</v>
      </c>
      <c r="I67" s="29">
        <f>I52*Assumptions!C87</f>
        <v>316.43640000000005</v>
      </c>
      <c r="J67" s="29">
        <f>J52*Assumptions!C87</f>
        <v>349.77596</v>
      </c>
      <c r="K67" s="29">
        <f>K52*Assumptions!C87</f>
        <v>385.43465000000003</v>
      </c>
      <c r="L67" s="29">
        <f>L52*Assumptions!C87</f>
        <v>426.45660000000004</v>
      </c>
      <c r="M67" s="29">
        <f>M52*Assumptions!C87</f>
        <v>467.62383999999997</v>
      </c>
      <c r="N67" s="29">
        <f>N52*Assumptions!C87</f>
        <v>514.15434000000005</v>
      </c>
      <c r="O67" s="29">
        <f>O52*Assumptions!C87</f>
        <v>564.88810000000001</v>
      </c>
      <c r="P67" s="29">
        <f>P52*Assumptions!C87</f>
        <v>619.53627999999992</v>
      </c>
      <c r="Q67" s="29">
        <f>Q52*Assumptions!C87</f>
        <v>682.01185000000009</v>
      </c>
      <c r="R67" s="29">
        <f>R52*Assumptions!C87</f>
        <v>749.41626000000008</v>
      </c>
      <c r="S67" s="29">
        <f>S52*Assumptions!C87</f>
        <v>824.79305999999997</v>
      </c>
      <c r="T67" s="29">
        <f>T52*Assumptions!C87</f>
        <v>905.96812</v>
      </c>
      <c r="U67" s="29">
        <f>U52*Assumptions!C87</f>
        <v>997.00057000000015</v>
      </c>
      <c r="V67" s="29">
        <f>V52*Assumptions!C87</f>
        <v>1094.9909899999998</v>
      </c>
      <c r="W67" s="29">
        <f>W52*Assumptions!C87</f>
        <v>1203.99793</v>
      </c>
      <c r="X67" s="29">
        <f>X52*Assumptions!C87</f>
        <v>1324.02226</v>
      </c>
      <c r="Y67" s="29">
        <f>Y52*Assumptions!C87</f>
        <v>1456.0775300000003</v>
      </c>
      <c r="Z67" s="29">
        <f>Z52*Assumptions!C87</f>
        <v>1599.1501899999998</v>
      </c>
    </row>
    <row r="68" spans="2:26" x14ac:dyDescent="0.55000000000000004">
      <c r="B68" s="5" t="s">
        <v>141</v>
      </c>
      <c r="C68" s="29">
        <f>Assumptions!C88</f>
        <v>200</v>
      </c>
      <c r="D68" s="29">
        <f>ROUND(C68*(1+Assumptions!D88),0)</f>
        <v>206</v>
      </c>
      <c r="E68" s="29">
        <f>ROUND(D68*(1+Assumptions!D88),0)</f>
        <v>212</v>
      </c>
      <c r="F68" s="29">
        <f>ROUND(E68*(1+Assumptions!D88),0)</f>
        <v>218</v>
      </c>
      <c r="G68" s="29">
        <f>ROUND(F68*(1+Assumptions!D88),0)</f>
        <v>225</v>
      </c>
      <c r="H68" s="29">
        <f>ROUND(G68*(1+Assumptions!D88),0)</f>
        <v>232</v>
      </c>
      <c r="I68" s="29">
        <f>ROUND(H68*(1+Assumptions!D88),0)</f>
        <v>239</v>
      </c>
      <c r="J68" s="29">
        <f>ROUND(I68*(1+Assumptions!D88),0)</f>
        <v>246</v>
      </c>
      <c r="K68" s="29">
        <f>ROUND(J68*(1+Assumptions!D88),0)</f>
        <v>253</v>
      </c>
      <c r="L68" s="29">
        <f>ROUND(K68*(1+Assumptions!D88),0)</f>
        <v>261</v>
      </c>
      <c r="M68" s="29">
        <f>ROUND(L68*(1+Assumptions!D88),0)</f>
        <v>269</v>
      </c>
      <c r="N68" s="29">
        <f>ROUND(M68*(1+Assumptions!D88),0)</f>
        <v>277</v>
      </c>
      <c r="O68" s="29">
        <f>ROUND(N68*(1+Assumptions!D88),0)</f>
        <v>285</v>
      </c>
      <c r="P68" s="29">
        <f>ROUND(O68*(1+Assumptions!D88),0)</f>
        <v>294</v>
      </c>
      <c r="Q68" s="29">
        <f>ROUND(P68*(1+Assumptions!D88),0)</f>
        <v>303</v>
      </c>
      <c r="R68" s="29">
        <f>ROUND(Q68*(1+Assumptions!D88),0)</f>
        <v>312</v>
      </c>
      <c r="S68" s="29">
        <f>ROUND(R68*(1+Assumptions!D88),0)</f>
        <v>321</v>
      </c>
      <c r="T68" s="29">
        <f>ROUND(S68*(1+Assumptions!D88),0)</f>
        <v>331</v>
      </c>
      <c r="U68" s="29">
        <f>ROUND(T68*(1+Assumptions!D88),0)</f>
        <v>341</v>
      </c>
      <c r="V68" s="29">
        <f>ROUND(U68*(1+Assumptions!D88),0)</f>
        <v>351</v>
      </c>
      <c r="W68" s="29">
        <f>ROUND(V68*(1+Assumptions!D88),0)</f>
        <v>362</v>
      </c>
      <c r="X68" s="29">
        <f>ROUND(W68*(1+Assumptions!D88),0)</f>
        <v>373</v>
      </c>
      <c r="Y68" s="29">
        <f>ROUND(X68*(1+Assumptions!D88),0)</f>
        <v>384</v>
      </c>
      <c r="Z68" s="29">
        <f>ROUND(Y68*(1+Assumptions!D88),0)</f>
        <v>396</v>
      </c>
    </row>
    <row r="69" spans="2:26" x14ac:dyDescent="0.55000000000000004">
      <c r="B69" s="5" t="s">
        <v>142</v>
      </c>
      <c r="C69" s="29">
        <f>Assumptions!C89</f>
        <v>150</v>
      </c>
      <c r="D69" s="29">
        <f>ROUND(C69*(1+Assumptions!D89),0)</f>
        <v>150</v>
      </c>
      <c r="E69" s="29">
        <f>ROUND(D69*(1+Assumptions!D89),0)</f>
        <v>150</v>
      </c>
      <c r="F69" s="29">
        <f>ROUND(E69*(1+Assumptions!D89),0)</f>
        <v>150</v>
      </c>
      <c r="G69" s="29">
        <f>ROUND(F69*(1+Assumptions!D89),0)</f>
        <v>150</v>
      </c>
      <c r="H69" s="29">
        <f>ROUND(G69*(1+Assumptions!D89),0)</f>
        <v>150</v>
      </c>
      <c r="I69" s="29">
        <f>ROUND(H69*(1+Assumptions!D89),0)</f>
        <v>150</v>
      </c>
      <c r="J69" s="29">
        <f>ROUND(I69*(1+Assumptions!D89),0)</f>
        <v>150</v>
      </c>
      <c r="K69" s="29">
        <f>ROUND(J69*(1+Assumptions!D89),0)</f>
        <v>150</v>
      </c>
      <c r="L69" s="29">
        <f>ROUND(K69*(1+Assumptions!D89),0)</f>
        <v>150</v>
      </c>
      <c r="M69" s="29">
        <f>ROUND(L69*(1+Assumptions!D89),0)</f>
        <v>150</v>
      </c>
      <c r="N69" s="29">
        <f>ROUND(M69*(1+Assumptions!D89),0)</f>
        <v>150</v>
      </c>
      <c r="O69" s="29">
        <f>ROUND(N69*(1+Assumptions!D89),0)</f>
        <v>150</v>
      </c>
      <c r="P69" s="29">
        <f>ROUND(O69*(1+Assumptions!D89),0)</f>
        <v>150</v>
      </c>
      <c r="Q69" s="29">
        <f>ROUND(P69*(1+Assumptions!D89),0)</f>
        <v>150</v>
      </c>
      <c r="R69" s="29">
        <f>ROUND(Q69*(1+Assumptions!D89),0)</f>
        <v>150</v>
      </c>
      <c r="S69" s="29">
        <f>ROUND(R69*(1+Assumptions!D89),0)</f>
        <v>150</v>
      </c>
      <c r="T69" s="29">
        <f>ROUND(S69*(1+Assumptions!D89),0)</f>
        <v>150</v>
      </c>
      <c r="U69" s="29">
        <f>ROUND(T69*(1+Assumptions!D89),0)</f>
        <v>150</v>
      </c>
      <c r="V69" s="29">
        <f>ROUND(U69*(1+Assumptions!D89),0)</f>
        <v>150</v>
      </c>
      <c r="W69" s="29">
        <f>ROUND(V69*(1+Assumptions!D89),0)</f>
        <v>150</v>
      </c>
      <c r="X69" s="29">
        <f>ROUND(W69*(1+Assumptions!D89),0)</f>
        <v>150</v>
      </c>
      <c r="Y69" s="29">
        <f>ROUND(X69*(1+Assumptions!D89),0)</f>
        <v>150</v>
      </c>
      <c r="Z69" s="29">
        <f>ROUND(Y69*(1+Assumptions!D89),0)</f>
        <v>150</v>
      </c>
    </row>
    <row r="70" spans="2:26" x14ac:dyDescent="0.55000000000000004">
      <c r="B70" s="27" t="s">
        <v>250</v>
      </c>
      <c r="C70" s="32">
        <f t="shared" ref="C70:Z70" si="16">SUM(C64:C69)</f>
        <v>1592.9555473822136</v>
      </c>
      <c r="D70" s="32">
        <f t="shared" si="16"/>
        <v>1691.4253835986892</v>
      </c>
      <c r="E70" s="32">
        <f t="shared" si="16"/>
        <v>1796.5074447629199</v>
      </c>
      <c r="F70" s="32">
        <f t="shared" si="16"/>
        <v>1908.2588277696993</v>
      </c>
      <c r="G70" s="32">
        <f t="shared" si="16"/>
        <v>2032.5043883792518</v>
      </c>
      <c r="H70" s="32">
        <f t="shared" si="16"/>
        <v>2167.0844198079258</v>
      </c>
      <c r="I70" s="32">
        <f t="shared" si="16"/>
        <v>2307.9056394135082</v>
      </c>
      <c r="J70" s="32">
        <f t="shared" si="16"/>
        <v>2466.4641985999983</v>
      </c>
      <c r="K70" s="32">
        <f t="shared" si="16"/>
        <v>2635.361795035657</v>
      </c>
      <c r="L70" s="32">
        <f t="shared" si="16"/>
        <v>2823.1451944333771</v>
      </c>
      <c r="M70" s="32">
        <f t="shared" si="16"/>
        <v>3016.5967618777577</v>
      </c>
      <c r="N70" s="32">
        <f t="shared" si="16"/>
        <v>3227.9374765625848</v>
      </c>
      <c r="O70" s="32">
        <f t="shared" si="16"/>
        <v>3456.0092355164579</v>
      </c>
      <c r="P70" s="32">
        <f t="shared" si="16"/>
        <v>3701.5252119626989</v>
      </c>
      <c r="Q70" s="32">
        <f t="shared" si="16"/>
        <v>3974.4027625058634</v>
      </c>
      <c r="R70" s="32">
        <f t="shared" si="16"/>
        <v>4269.2463192532732</v>
      </c>
      <c r="S70" s="32">
        <f t="shared" si="16"/>
        <v>4591.603205126421</v>
      </c>
      <c r="T70" s="32">
        <f t="shared" si="16"/>
        <v>4937.8026247913531</v>
      </c>
      <c r="U70" s="32">
        <f t="shared" si="16"/>
        <v>5316.9080114575627</v>
      </c>
      <c r="V70" s="32">
        <f t="shared" si="16"/>
        <v>5723.5239062963701</v>
      </c>
      <c r="W70" s="32">
        <f t="shared" si="16"/>
        <v>6169.7145286814848</v>
      </c>
      <c r="X70" s="32">
        <f t="shared" si="16"/>
        <v>6657.9867723180614</v>
      </c>
      <c r="Y70" s="32">
        <f t="shared" si="16"/>
        <v>7186.8595042841453</v>
      </c>
      <c r="Z70" s="32">
        <f t="shared" si="16"/>
        <v>7758.8254684703807</v>
      </c>
    </row>
    <row r="72" spans="2:26" ht="16.8" x14ac:dyDescent="0.65">
      <c r="B72" s="3" t="s">
        <v>251</v>
      </c>
    </row>
    <row r="73" spans="2:26" x14ac:dyDescent="0.55000000000000004">
      <c r="B73" s="30" t="s">
        <v>252</v>
      </c>
      <c r="C73" s="31">
        <f t="shared" ref="C73:Z73" si="17">C60-C70</f>
        <v>3091.7144526177872</v>
      </c>
      <c r="D73" s="31">
        <f t="shared" si="17"/>
        <v>3501.5446164013101</v>
      </c>
      <c r="E73" s="31">
        <f t="shared" si="17"/>
        <v>3963.2225552370796</v>
      </c>
      <c r="F73" s="31">
        <f t="shared" si="17"/>
        <v>4451.2311722303002</v>
      </c>
      <c r="G73" s="31">
        <f t="shared" si="17"/>
        <v>5026.7056116207477</v>
      </c>
      <c r="H73" s="31">
        <f t="shared" si="17"/>
        <v>5655.3255801920723</v>
      </c>
      <c r="I73" s="31">
        <f t="shared" si="17"/>
        <v>6293.6943605864926</v>
      </c>
      <c r="J73" s="31">
        <f t="shared" si="17"/>
        <v>7066.775801400001</v>
      </c>
      <c r="K73" s="31">
        <f t="shared" si="17"/>
        <v>7890.9882049643438</v>
      </c>
      <c r="L73" s="31">
        <f t="shared" si="17"/>
        <v>8852.254805566623</v>
      </c>
      <c r="M73" s="31">
        <f t="shared" si="17"/>
        <v>9806.3632381222415</v>
      </c>
      <c r="N73" s="31">
        <f t="shared" si="17"/>
        <v>10898.522523437414</v>
      </c>
      <c r="O73" s="31">
        <f t="shared" si="17"/>
        <v>12090.39076448354</v>
      </c>
      <c r="P73" s="31">
        <f t="shared" si="17"/>
        <v>13374.794788037298</v>
      </c>
      <c r="Q73" s="31">
        <f t="shared" si="17"/>
        <v>14854.747237494139</v>
      </c>
      <c r="R73" s="31">
        <f t="shared" si="17"/>
        <v>16447.693680746728</v>
      </c>
      <c r="S73" s="31">
        <f t="shared" si="17"/>
        <v>18241.03679487358</v>
      </c>
      <c r="T73" s="31">
        <f t="shared" si="17"/>
        <v>20173.977375208648</v>
      </c>
      <c r="U73" s="31">
        <f t="shared" si="17"/>
        <v>22359.421988542439</v>
      </c>
      <c r="V73" s="31">
        <f t="shared" si="17"/>
        <v>24711.78609370362</v>
      </c>
      <c r="W73" s="31">
        <f t="shared" si="17"/>
        <v>27338.455471318513</v>
      </c>
      <c r="X73" s="31">
        <f t="shared" si="17"/>
        <v>30232.953227681934</v>
      </c>
      <c r="Y73" s="31">
        <f t="shared" si="17"/>
        <v>33434.210495715859</v>
      </c>
      <c r="Z73" s="31">
        <f t="shared" si="17"/>
        <v>36902.284531529614</v>
      </c>
    </row>
    <row r="74" spans="2:26" x14ac:dyDescent="0.55000000000000004">
      <c r="B74" s="12" t="s">
        <v>253</v>
      </c>
      <c r="C74" s="13">
        <f t="shared" ref="C74:Z74" si="18">IF(C52&gt;0,C73/C52,0)</f>
        <v>0.51118180418503223</v>
      </c>
      <c r="D74" s="13">
        <f t="shared" si="18"/>
        <v>0.52395037182589632</v>
      </c>
      <c r="E74" s="13">
        <f t="shared" si="18"/>
        <v>0.53646012445461322</v>
      </c>
      <c r="F74" s="13">
        <f t="shared" si="18"/>
        <v>0.54733927397762561</v>
      </c>
      <c r="G74" s="13">
        <f t="shared" si="18"/>
        <v>0.55869604150850638</v>
      </c>
      <c r="H74" s="13">
        <f t="shared" si="18"/>
        <v>0.56883693175577665</v>
      </c>
      <c r="I74" s="13">
        <f t="shared" si="18"/>
        <v>0.57678932150981455</v>
      </c>
      <c r="J74" s="13">
        <f t="shared" si="18"/>
        <v>0.5859079001329881</v>
      </c>
      <c r="K74" s="13">
        <f t="shared" si="18"/>
        <v>0.59371584247541309</v>
      </c>
      <c r="L74" s="13">
        <f t="shared" si="18"/>
        <v>0.60197307149527546</v>
      </c>
      <c r="M74" s="13">
        <f t="shared" si="18"/>
        <v>0.60814806598727944</v>
      </c>
      <c r="N74" s="13">
        <f t="shared" si="18"/>
        <v>0.61471260396184735</v>
      </c>
      <c r="O74" s="13">
        <f t="shared" si="18"/>
        <v>0.6206916594101074</v>
      </c>
      <c r="P74" s="13">
        <f t="shared" si="18"/>
        <v>0.62606349518882365</v>
      </c>
      <c r="Q74" s="13">
        <f t="shared" si="18"/>
        <v>0.63164249988813248</v>
      </c>
      <c r="R74" s="13">
        <f t="shared" si="18"/>
        <v>0.63647286855192475</v>
      </c>
      <c r="S74" s="13">
        <f t="shared" si="18"/>
        <v>0.64136095792480818</v>
      </c>
      <c r="T74" s="13">
        <f t="shared" si="18"/>
        <v>0.64576813572761349</v>
      </c>
      <c r="U74" s="13">
        <f t="shared" si="18"/>
        <v>0.65037398892132092</v>
      </c>
      <c r="V74" s="13">
        <f t="shared" si="18"/>
        <v>0.6544727794677152</v>
      </c>
      <c r="W74" s="13">
        <f t="shared" si="18"/>
        <v>0.65848552469540955</v>
      </c>
      <c r="X74" s="13">
        <f t="shared" si="18"/>
        <v>0.66219101452476803</v>
      </c>
      <c r="Y74" s="13">
        <f t="shared" si="18"/>
        <v>0.66589318521779517</v>
      </c>
      <c r="Z74" s="13">
        <f t="shared" si="18"/>
        <v>0.66920934512996488</v>
      </c>
    </row>
    <row r="75" spans="2:26" x14ac:dyDescent="0.55000000000000004">
      <c r="B75" s="5" t="s">
        <v>254</v>
      </c>
      <c r="C75" s="29">
        <f>IF(C73&gt;0,C73*Assumptions!C92,0)</f>
        <v>649.26003504973528</v>
      </c>
      <c r="D75" s="29">
        <f>IF(D73&gt;0,D73*Assumptions!C92,0)</f>
        <v>735.32436944427513</v>
      </c>
      <c r="E75" s="29">
        <f>IF(E73&gt;0,E73*Assumptions!C92,0)</f>
        <v>832.27673659978666</v>
      </c>
      <c r="F75" s="29">
        <f>IF(F73&gt;0,F73*Assumptions!C92,0)</f>
        <v>934.75854616836295</v>
      </c>
      <c r="G75" s="29">
        <f>IF(G73&gt;0,G73*Assumptions!C92,0)</f>
        <v>1055.6081784403571</v>
      </c>
      <c r="H75" s="29">
        <f>IF(H73&gt;0,H73*Assumptions!C92,0)</f>
        <v>1187.6183718403352</v>
      </c>
      <c r="I75" s="29">
        <f>IF(I73&gt;0,I73*Assumptions!C92,0)</f>
        <v>1321.6758157231634</v>
      </c>
      <c r="J75" s="29">
        <f>IF(J73&gt;0,J73*Assumptions!C92,0)</f>
        <v>1484.0229182940002</v>
      </c>
      <c r="K75" s="29">
        <f>IF(K73&gt;0,K73*Assumptions!C92,0)</f>
        <v>1657.1075230425122</v>
      </c>
      <c r="L75" s="29">
        <f>IF(L73&gt;0,L73*Assumptions!C92,0)</f>
        <v>1858.9735091689909</v>
      </c>
      <c r="M75" s="29">
        <f>IF(M73&gt;0,M73*Assumptions!C92,0)</f>
        <v>2059.3362800056707</v>
      </c>
      <c r="N75" s="29">
        <f>IF(N73&gt;0,N73*Assumptions!C92,0)</f>
        <v>2288.6897299218567</v>
      </c>
      <c r="O75" s="29">
        <f>IF(O73&gt;0,O73*Assumptions!C92,0)</f>
        <v>2538.9820605415434</v>
      </c>
      <c r="P75" s="29">
        <f>IF(P73&gt;0,P73*Assumptions!C92,0)</f>
        <v>2808.7069054878325</v>
      </c>
      <c r="Q75" s="29">
        <f>IF(Q73&gt;0,Q73*Assumptions!C92,0)</f>
        <v>3119.496919873769</v>
      </c>
      <c r="R75" s="29">
        <f>IF(R73&gt;0,R73*Assumptions!C92,0)</f>
        <v>3454.015672956813</v>
      </c>
      <c r="S75" s="29">
        <f>IF(S73&gt;0,S73*Assumptions!C92,0)</f>
        <v>3830.6177269234518</v>
      </c>
      <c r="T75" s="29">
        <f>IF(T73&gt;0,T73*Assumptions!C92,0)</f>
        <v>4236.5352487938162</v>
      </c>
      <c r="U75" s="29">
        <f>IF(U73&gt;0,U73*Assumptions!C92,0)</f>
        <v>4695.4786175939116</v>
      </c>
      <c r="V75" s="29">
        <f>IF(V73&gt;0,V73*Assumptions!C92,0)</f>
        <v>5189.4750796777598</v>
      </c>
      <c r="W75" s="29">
        <f>IF(W73&gt;0,W73*Assumptions!C92,0)</f>
        <v>5741.0756489768874</v>
      </c>
      <c r="X75" s="29">
        <f>IF(X73&gt;0,X73*Assumptions!C92,0)</f>
        <v>6348.9201778132056</v>
      </c>
      <c r="Y75" s="29">
        <f>IF(Y73&gt;0,Y73*Assumptions!C92,0)</f>
        <v>7021.1842041003301</v>
      </c>
      <c r="Z75" s="29">
        <f>IF(Z73&gt;0,Z73*Assumptions!C92,0)</f>
        <v>7749.4797516212184</v>
      </c>
    </row>
    <row r="76" spans="2:26" ht="15.6" x14ac:dyDescent="0.6">
      <c r="B76" s="33" t="s">
        <v>255</v>
      </c>
      <c r="C76" s="34">
        <f t="shared" ref="C76:Z76" si="19">C73-C75</f>
        <v>2442.4544175680521</v>
      </c>
      <c r="D76" s="34">
        <f t="shared" si="19"/>
        <v>2766.2202469570348</v>
      </c>
      <c r="E76" s="34">
        <f t="shared" si="19"/>
        <v>3130.9458186372931</v>
      </c>
      <c r="F76" s="34">
        <f t="shared" si="19"/>
        <v>3516.4726260619373</v>
      </c>
      <c r="G76" s="34">
        <f t="shared" si="19"/>
        <v>3971.0974331803909</v>
      </c>
      <c r="H76" s="34">
        <f t="shared" si="19"/>
        <v>4467.7072083517369</v>
      </c>
      <c r="I76" s="34">
        <f t="shared" si="19"/>
        <v>4972.0185448633292</v>
      </c>
      <c r="J76" s="34">
        <f t="shared" si="19"/>
        <v>5582.7528831060008</v>
      </c>
      <c r="K76" s="34">
        <f t="shared" si="19"/>
        <v>6233.8806819218316</v>
      </c>
      <c r="L76" s="34">
        <f t="shared" si="19"/>
        <v>6993.2812963976321</v>
      </c>
      <c r="M76" s="34">
        <f t="shared" si="19"/>
        <v>7747.0269581165703</v>
      </c>
      <c r="N76" s="34">
        <f t="shared" si="19"/>
        <v>8609.8327935155576</v>
      </c>
      <c r="O76" s="34">
        <f t="shared" si="19"/>
        <v>9551.4087039419974</v>
      </c>
      <c r="P76" s="34">
        <f t="shared" si="19"/>
        <v>10566.087882549466</v>
      </c>
      <c r="Q76" s="34">
        <f t="shared" si="19"/>
        <v>11735.25031762037</v>
      </c>
      <c r="R76" s="34">
        <f t="shared" si="19"/>
        <v>12993.678007789915</v>
      </c>
      <c r="S76" s="34">
        <f t="shared" si="19"/>
        <v>14410.419067950128</v>
      </c>
      <c r="T76" s="34">
        <f t="shared" si="19"/>
        <v>15937.442126414831</v>
      </c>
      <c r="U76" s="34">
        <f t="shared" si="19"/>
        <v>17663.943370948527</v>
      </c>
      <c r="V76" s="34">
        <f t="shared" si="19"/>
        <v>19522.311014025861</v>
      </c>
      <c r="W76" s="34">
        <f t="shared" si="19"/>
        <v>21597.379822341627</v>
      </c>
      <c r="X76" s="34">
        <f t="shared" si="19"/>
        <v>23884.033049868729</v>
      </c>
      <c r="Y76" s="34">
        <f t="shared" si="19"/>
        <v>26413.02629161553</v>
      </c>
      <c r="Z76" s="34">
        <f t="shared" si="19"/>
        <v>29152.804779908394</v>
      </c>
    </row>
    <row r="77" spans="2:26" x14ac:dyDescent="0.55000000000000004">
      <c r="B77" s="12" t="s">
        <v>256</v>
      </c>
      <c r="C77" s="35">
        <f>C76</f>
        <v>2442.4544175680521</v>
      </c>
      <c r="D77" s="35">
        <f t="shared" ref="D77:Z77" si="20">C77+D76</f>
        <v>5208.6746645250869</v>
      </c>
      <c r="E77" s="35">
        <f t="shared" si="20"/>
        <v>8339.62048316238</v>
      </c>
      <c r="F77" s="35">
        <f t="shared" si="20"/>
        <v>11856.093109224317</v>
      </c>
      <c r="G77" s="35">
        <f t="shared" si="20"/>
        <v>15827.190542404707</v>
      </c>
      <c r="H77" s="35">
        <f t="shared" si="20"/>
        <v>20294.897750756445</v>
      </c>
      <c r="I77" s="35">
        <f t="shared" si="20"/>
        <v>25266.916295619776</v>
      </c>
      <c r="J77" s="35">
        <f t="shared" si="20"/>
        <v>30849.669178725777</v>
      </c>
      <c r="K77" s="35">
        <f t="shared" si="20"/>
        <v>37083.54986064761</v>
      </c>
      <c r="L77" s="35">
        <f t="shared" si="20"/>
        <v>44076.831157045242</v>
      </c>
      <c r="M77" s="35">
        <f t="shared" si="20"/>
        <v>51823.858115161813</v>
      </c>
      <c r="N77" s="35">
        <f t="shared" si="20"/>
        <v>60433.690908677367</v>
      </c>
      <c r="O77" s="35">
        <f t="shared" si="20"/>
        <v>69985.099612619364</v>
      </c>
      <c r="P77" s="35">
        <f t="shared" si="20"/>
        <v>80551.187495168822</v>
      </c>
      <c r="Q77" s="35">
        <f t="shared" si="20"/>
        <v>92286.437812789198</v>
      </c>
      <c r="R77" s="35">
        <f t="shared" si="20"/>
        <v>105280.11582057911</v>
      </c>
      <c r="S77" s="35">
        <f t="shared" si="20"/>
        <v>119690.53488852925</v>
      </c>
      <c r="T77" s="35">
        <f t="shared" si="20"/>
        <v>135627.97701494407</v>
      </c>
      <c r="U77" s="35">
        <f t="shared" si="20"/>
        <v>153291.92038589259</v>
      </c>
      <c r="V77" s="35">
        <f t="shared" si="20"/>
        <v>172814.23139991844</v>
      </c>
      <c r="W77" s="35">
        <f t="shared" si="20"/>
        <v>194411.61122226008</v>
      </c>
      <c r="X77" s="35">
        <f t="shared" si="20"/>
        <v>218295.64427212882</v>
      </c>
      <c r="Y77" s="35">
        <f t="shared" si="20"/>
        <v>244708.67056374435</v>
      </c>
      <c r="Z77" s="35">
        <f t="shared" si="20"/>
        <v>273861.47534365277</v>
      </c>
    </row>
    <row r="79" spans="2:26" ht="16.8" x14ac:dyDescent="0.65">
      <c r="B79" s="3" t="s">
        <v>257</v>
      </c>
    </row>
    <row r="80" spans="2:26" x14ac:dyDescent="0.55000000000000004">
      <c r="B80" s="5" t="s">
        <v>258</v>
      </c>
      <c r="C80" s="26">
        <f t="shared" ref="C80:Z80" si="21">IF(C9&gt;0,C65/C9,0)</f>
        <v>3.225806451612903</v>
      </c>
      <c r="D80" s="26">
        <f t="shared" si="21"/>
        <v>3.1065088757396451</v>
      </c>
      <c r="E80" s="26">
        <f t="shared" si="21"/>
        <v>2.9945652173913042</v>
      </c>
      <c r="F80" s="26">
        <f t="shared" si="21"/>
        <v>2.895</v>
      </c>
      <c r="G80" s="26">
        <f t="shared" si="21"/>
        <v>2.7889908256880735</v>
      </c>
      <c r="H80" s="26">
        <f t="shared" si="21"/>
        <v>2.6806722689075628</v>
      </c>
      <c r="I80" s="26">
        <f t="shared" si="21"/>
        <v>2.586872586872587</v>
      </c>
      <c r="J80" s="26">
        <f t="shared" si="21"/>
        <v>2.4876325088339222</v>
      </c>
      <c r="K80" s="26">
        <f t="shared" si="21"/>
        <v>2.3915857605177995</v>
      </c>
      <c r="L80" s="26">
        <f t="shared" si="21"/>
        <v>2.2958579881656807</v>
      </c>
      <c r="M80" s="26">
        <f t="shared" si="21"/>
        <v>2.214673913043478</v>
      </c>
      <c r="N80" s="26">
        <f t="shared" si="21"/>
        <v>2.1346633416458851</v>
      </c>
      <c r="O80" s="26">
        <f t="shared" si="21"/>
        <v>2.0572082379862699</v>
      </c>
      <c r="P80" s="26">
        <f t="shared" si="21"/>
        <v>1.9831932773109244</v>
      </c>
      <c r="Q80" s="26">
        <f t="shared" si="21"/>
        <v>1.9057692307692307</v>
      </c>
      <c r="R80" s="26">
        <f t="shared" si="21"/>
        <v>1.8327464788732395</v>
      </c>
      <c r="S80" s="26">
        <f t="shared" si="21"/>
        <v>1.7600644122383253</v>
      </c>
      <c r="T80" s="26">
        <f t="shared" si="21"/>
        <v>1.6932153392330382</v>
      </c>
      <c r="U80" s="26">
        <f t="shared" si="21"/>
        <v>1.6261808367071524</v>
      </c>
      <c r="V80" s="26">
        <f t="shared" si="21"/>
        <v>1.5636588380716934</v>
      </c>
      <c r="W80" s="26">
        <f t="shared" si="21"/>
        <v>1.502262443438914</v>
      </c>
      <c r="X80" s="26">
        <f t="shared" si="21"/>
        <v>1.4415718717683557</v>
      </c>
      <c r="Y80" s="26">
        <f t="shared" si="21"/>
        <v>1.3850520340586565</v>
      </c>
      <c r="Z80" s="26">
        <f t="shared" si="21"/>
        <v>1.3307359307359308</v>
      </c>
    </row>
    <row r="81" spans="2:26" x14ac:dyDescent="0.55000000000000004">
      <c r="B81" s="5" t="s">
        <v>259</v>
      </c>
      <c r="C81" s="26">
        <f t="shared" ref="C81:Z81" si="22">IF(C9&gt;0,C52/C9,0)</f>
        <v>39.02045161290323</v>
      </c>
      <c r="D81" s="26">
        <f t="shared" si="22"/>
        <v>39.544201183431952</v>
      </c>
      <c r="E81" s="26">
        <f t="shared" si="22"/>
        <v>40.150706521739131</v>
      </c>
      <c r="F81" s="26">
        <f t="shared" si="22"/>
        <v>40.66245</v>
      </c>
      <c r="G81" s="26">
        <f t="shared" si="22"/>
        <v>41.27160550458715</v>
      </c>
      <c r="H81" s="26">
        <f t="shared" si="22"/>
        <v>41.772731092436963</v>
      </c>
      <c r="I81" s="26">
        <f t="shared" si="22"/>
        <v>42.129729729729732</v>
      </c>
      <c r="J81" s="26">
        <f t="shared" si="22"/>
        <v>42.619222614840986</v>
      </c>
      <c r="K81" s="26">
        <f t="shared" si="22"/>
        <v>43.012459546925569</v>
      </c>
      <c r="L81" s="26">
        <f t="shared" si="22"/>
        <v>43.507100591715975</v>
      </c>
      <c r="M81" s="26">
        <f t="shared" si="22"/>
        <v>43.817826086956522</v>
      </c>
      <c r="N81" s="26">
        <f t="shared" si="22"/>
        <v>44.213117206982538</v>
      </c>
      <c r="O81" s="26">
        <f t="shared" si="22"/>
        <v>44.574141876430204</v>
      </c>
      <c r="P81" s="26">
        <f t="shared" si="22"/>
        <v>44.880924369747888</v>
      </c>
      <c r="Q81" s="26">
        <f t="shared" si="22"/>
        <v>45.22625</v>
      </c>
      <c r="R81" s="26">
        <f t="shared" si="22"/>
        <v>45.496373239436622</v>
      </c>
      <c r="S81" s="26">
        <f t="shared" si="22"/>
        <v>45.798937198067634</v>
      </c>
      <c r="T81" s="26">
        <f t="shared" si="22"/>
        <v>46.077109144542774</v>
      </c>
      <c r="U81" s="26">
        <f t="shared" si="22"/>
        <v>46.395856950067476</v>
      </c>
      <c r="V81" s="26">
        <f t="shared" si="22"/>
        <v>46.67281829419035</v>
      </c>
      <c r="W81" s="26">
        <f t="shared" si="22"/>
        <v>46.965124434389139</v>
      </c>
      <c r="X81" s="26">
        <f t="shared" si="22"/>
        <v>47.21400206825232</v>
      </c>
      <c r="Y81" s="26">
        <f t="shared" si="22"/>
        <v>47.50195837275308</v>
      </c>
      <c r="Z81" s="26">
        <f t="shared" si="22"/>
        <v>47.742952380952374</v>
      </c>
    </row>
    <row r="82" spans="2:26" x14ac:dyDescent="0.55000000000000004">
      <c r="B82" s="5" t="s">
        <v>260</v>
      </c>
      <c r="C82" s="26">
        <f t="shared" ref="C82:Z82" si="23">IF(C9&gt;0,(C59+C70)/C9,0)</f>
        <v>19.073906757304606</v>
      </c>
      <c r="D82" s="26">
        <f t="shared" si="23"/>
        <v>18.825002269814728</v>
      </c>
      <c r="E82" s="26">
        <f t="shared" si="23"/>
        <v>18.611453504146304</v>
      </c>
      <c r="F82" s="26">
        <f t="shared" si="23"/>
        <v>18.406294138848498</v>
      </c>
      <c r="G82" s="26">
        <f t="shared" si="23"/>
        <v>18.213322882473634</v>
      </c>
      <c r="H82" s="26">
        <f t="shared" si="23"/>
        <v>18.010858906755992</v>
      </c>
      <c r="I82" s="26">
        <f t="shared" si="23"/>
        <v>17.829751503527056</v>
      </c>
      <c r="J82" s="26">
        <f t="shared" si="23"/>
        <v>17.648283387279147</v>
      </c>
      <c r="K82" s="26">
        <f t="shared" si="23"/>
        <v>17.475280890083031</v>
      </c>
      <c r="L82" s="26">
        <f t="shared" si="23"/>
        <v>17.316997616666796</v>
      </c>
      <c r="M82" s="26">
        <f t="shared" si="23"/>
        <v>17.170099896406949</v>
      </c>
      <c r="N82" s="26">
        <f t="shared" si="23"/>
        <v>17.034756799407944</v>
      </c>
      <c r="O82" s="26">
        <f t="shared" si="23"/>
        <v>16.907343788367182</v>
      </c>
      <c r="P82" s="26">
        <f t="shared" si="23"/>
        <v>16.782615991518274</v>
      </c>
      <c r="Q82" s="26">
        <f t="shared" si="23"/>
        <v>16.65942838943435</v>
      </c>
      <c r="R82" s="26">
        <f t="shared" si="23"/>
        <v>16.539166055023369</v>
      </c>
      <c r="S82" s="26">
        <f t="shared" si="23"/>
        <v>16.425286964776845</v>
      </c>
      <c r="T82" s="26">
        <f t="shared" si="23"/>
        <v>16.321980272553617</v>
      </c>
      <c r="U82" s="26">
        <f t="shared" si="23"/>
        <v>16.221198396029099</v>
      </c>
      <c r="V82" s="26">
        <f t="shared" si="23"/>
        <v>16.126729179599963</v>
      </c>
      <c r="W82" s="26">
        <f t="shared" si="23"/>
        <v>16.039269828825208</v>
      </c>
      <c r="X82" s="26">
        <f t="shared" si="23"/>
        <v>15.949314138901821</v>
      </c>
      <c r="Y82" s="26">
        <f t="shared" si="23"/>
        <v>15.870728007837412</v>
      </c>
      <c r="Z82" s="26">
        <f t="shared" si="23"/>
        <v>15.792922483524137</v>
      </c>
    </row>
    <row r="83" spans="2:26" x14ac:dyDescent="0.55000000000000004">
      <c r="B83" s="5" t="s">
        <v>261</v>
      </c>
      <c r="C83" s="36">
        <f t="shared" ref="C83:Z83" si="24">IF(C11&gt;0,C43/C11,0)</f>
        <v>0.18983801047131346</v>
      </c>
      <c r="D83" s="36">
        <f t="shared" si="24"/>
        <v>9.1342740358870286E-2</v>
      </c>
      <c r="E83" s="36">
        <f t="shared" si="24"/>
        <v>5.8479802691944256E-2</v>
      </c>
      <c r="F83" s="36">
        <f t="shared" si="24"/>
        <v>4.2220295298504094E-2</v>
      </c>
      <c r="G83" s="36">
        <f t="shared" si="24"/>
        <v>3.2509908995237397E-2</v>
      </c>
      <c r="H83" s="36">
        <f t="shared" si="24"/>
        <v>2.6055641868479175E-2</v>
      </c>
      <c r="I83" s="36">
        <f t="shared" si="24"/>
        <v>2.1462181333477732E-2</v>
      </c>
      <c r="J83" s="36">
        <f t="shared" si="24"/>
        <v>1.8060854206895374E-2</v>
      </c>
      <c r="K83" s="36">
        <f t="shared" si="24"/>
        <v>1.5427405158001669E-2</v>
      </c>
      <c r="L83" s="36">
        <f t="shared" si="24"/>
        <v>1.3344297216688476E-2</v>
      </c>
      <c r="M83" s="36">
        <f t="shared" si="24"/>
        <v>1.166144482393318E-2</v>
      </c>
      <c r="N83" s="36">
        <f t="shared" si="24"/>
        <v>1.0280006240612176E-2</v>
      </c>
      <c r="O83" s="36">
        <f t="shared" si="24"/>
        <v>9.1309538897380634E-3</v>
      </c>
      <c r="P83" s="36">
        <f t="shared" si="24"/>
        <v>8.1600384730900807E-3</v>
      </c>
      <c r="Q83" s="36">
        <f t="shared" si="24"/>
        <v>7.3323637670101444E-3</v>
      </c>
      <c r="R83" s="36">
        <f t="shared" si="24"/>
        <v>6.6199906436907726E-3</v>
      </c>
      <c r="S83" s="36">
        <f t="shared" si="24"/>
        <v>6.0037167403566459E-3</v>
      </c>
      <c r="T83" s="36">
        <f t="shared" si="24"/>
        <v>5.4651959683739496E-3</v>
      </c>
      <c r="U83" s="36">
        <f t="shared" si="24"/>
        <v>4.9938317388014668E-3</v>
      </c>
      <c r="V83" s="36">
        <f t="shared" si="24"/>
        <v>4.5798282609755192E-3</v>
      </c>
      <c r="W83" s="36">
        <f t="shared" si="24"/>
        <v>4.2131507281463008E-3</v>
      </c>
      <c r="X83" s="36">
        <f t="shared" si="24"/>
        <v>3.8879655470732072E-3</v>
      </c>
      <c r="Y83" s="36">
        <f t="shared" si="24"/>
        <v>3.5988293992370818E-3</v>
      </c>
      <c r="Z83" s="36">
        <f t="shared" si="24"/>
        <v>3.3406919325885257E-3</v>
      </c>
    </row>
    <row r="84" spans="2:26" x14ac:dyDescent="0.55000000000000004">
      <c r="B84" s="5" t="s">
        <v>262</v>
      </c>
      <c r="C84" s="24">
        <f t="shared" ref="C84:Z84" si="25">C15*2</f>
        <v>9.2799999999999994</v>
      </c>
      <c r="D84" s="24">
        <f t="shared" si="25"/>
        <v>19.399999999999999</v>
      </c>
      <c r="E84" s="24">
        <f t="shared" si="25"/>
        <v>30.419999999999998</v>
      </c>
      <c r="F84" s="24">
        <f t="shared" si="25"/>
        <v>42.4</v>
      </c>
      <c r="G84" s="24">
        <f t="shared" si="25"/>
        <v>55.46</v>
      </c>
      <c r="H84" s="24">
        <f t="shared" si="25"/>
        <v>69.72</v>
      </c>
      <c r="I84" s="24">
        <f t="shared" si="25"/>
        <v>85.24</v>
      </c>
      <c r="J84" s="24">
        <f t="shared" si="25"/>
        <v>102.19999999999999</v>
      </c>
      <c r="K84" s="24">
        <f t="shared" si="25"/>
        <v>120.71999999999998</v>
      </c>
      <c r="L84" s="24">
        <f t="shared" si="25"/>
        <v>140.97999999999999</v>
      </c>
      <c r="M84" s="24">
        <f t="shared" si="25"/>
        <v>163.04</v>
      </c>
      <c r="N84" s="24">
        <f t="shared" si="25"/>
        <v>187.07999999999998</v>
      </c>
      <c r="O84" s="24">
        <f t="shared" si="25"/>
        <v>213.27999999999997</v>
      </c>
      <c r="P84" s="24">
        <f t="shared" si="25"/>
        <v>241.79999999999998</v>
      </c>
      <c r="Q84" s="24">
        <f t="shared" si="25"/>
        <v>272.95999999999998</v>
      </c>
      <c r="R84" s="24">
        <f t="shared" si="25"/>
        <v>307</v>
      </c>
      <c r="S84" s="24">
        <f t="shared" si="25"/>
        <v>344.22</v>
      </c>
      <c r="T84" s="24">
        <f t="shared" si="25"/>
        <v>384.86</v>
      </c>
      <c r="U84" s="24">
        <f t="shared" si="25"/>
        <v>429.26</v>
      </c>
      <c r="V84" s="24">
        <f t="shared" si="25"/>
        <v>477.74</v>
      </c>
      <c r="W84" s="24">
        <f t="shared" si="25"/>
        <v>530.72</v>
      </c>
      <c r="X84" s="24">
        <f t="shared" si="25"/>
        <v>588.68000000000006</v>
      </c>
      <c r="Y84" s="24">
        <f t="shared" si="25"/>
        <v>652.0200000000001</v>
      </c>
      <c r="Z84" s="24">
        <f t="shared" si="25"/>
        <v>721.24000000000012</v>
      </c>
    </row>
    <row r="85" spans="2:26" x14ac:dyDescent="0.55000000000000004">
      <c r="B85" s="5" t="s">
        <v>263</v>
      </c>
      <c r="C85" s="37" t="str">
        <f t="shared" ref="C85:Z85" si="26">IF(C73&gt;0,"YES","NO")</f>
        <v>YES</v>
      </c>
      <c r="D85" s="37" t="str">
        <f t="shared" si="26"/>
        <v>YES</v>
      </c>
      <c r="E85" s="37" t="str">
        <f t="shared" si="26"/>
        <v>YES</v>
      </c>
      <c r="F85" s="37" t="str">
        <f t="shared" si="26"/>
        <v>YES</v>
      </c>
      <c r="G85" s="37" t="str">
        <f t="shared" si="26"/>
        <v>YES</v>
      </c>
      <c r="H85" s="37" t="str">
        <f t="shared" si="26"/>
        <v>YES</v>
      </c>
      <c r="I85" s="37" t="str">
        <f t="shared" si="26"/>
        <v>YES</v>
      </c>
      <c r="J85" s="37" t="str">
        <f t="shared" si="26"/>
        <v>YES</v>
      </c>
      <c r="K85" s="37" t="str">
        <f t="shared" si="26"/>
        <v>YES</v>
      </c>
      <c r="L85" s="37" t="str">
        <f t="shared" si="26"/>
        <v>YES</v>
      </c>
      <c r="M85" s="37" t="str">
        <f t="shared" si="26"/>
        <v>YES</v>
      </c>
      <c r="N85" s="37" t="str">
        <f t="shared" si="26"/>
        <v>YES</v>
      </c>
      <c r="O85" s="37" t="str">
        <f t="shared" si="26"/>
        <v>YES</v>
      </c>
      <c r="P85" s="37" t="str">
        <f t="shared" si="26"/>
        <v>YES</v>
      </c>
      <c r="Q85" s="37" t="str">
        <f t="shared" si="26"/>
        <v>YES</v>
      </c>
      <c r="R85" s="37" t="str">
        <f t="shared" si="26"/>
        <v>YES</v>
      </c>
      <c r="S85" s="37" t="str">
        <f t="shared" si="26"/>
        <v>YES</v>
      </c>
      <c r="T85" s="37" t="str">
        <f t="shared" si="26"/>
        <v>YES</v>
      </c>
      <c r="U85" s="37" t="str">
        <f t="shared" si="26"/>
        <v>YES</v>
      </c>
      <c r="V85" s="37" t="str">
        <f t="shared" si="26"/>
        <v>YES</v>
      </c>
      <c r="W85" s="37" t="str">
        <f t="shared" si="26"/>
        <v>YES</v>
      </c>
      <c r="X85" s="37" t="str">
        <f t="shared" si="26"/>
        <v>YES</v>
      </c>
      <c r="Y85" s="37" t="str">
        <f t="shared" si="26"/>
        <v>YES</v>
      </c>
      <c r="Z85" s="37" t="str">
        <f t="shared" si="26"/>
        <v>YES</v>
      </c>
    </row>
    <row r="87" spans="2:26" ht="16.8" x14ac:dyDescent="0.65">
      <c r="B87" s="3" t="s">
        <v>145</v>
      </c>
    </row>
    <row r="88" spans="2:26" x14ac:dyDescent="0.55000000000000004">
      <c r="B88" s="5" t="s">
        <v>264</v>
      </c>
      <c r="C88" s="19">
        <f>ROUND(C9*Assumptions!C96,0)</f>
        <v>9</v>
      </c>
      <c r="D88" s="19">
        <f>ROUND(D9*Assumptions!C96,0)</f>
        <v>10</v>
      </c>
      <c r="E88" s="19">
        <f>ROUND(E9*Assumptions!C96,0)</f>
        <v>11</v>
      </c>
      <c r="F88" s="19">
        <f>ROUND(F9*Assumptions!C96,0)</f>
        <v>12</v>
      </c>
      <c r="G88" s="19">
        <f>ROUND(G9*Assumptions!C96,0)</f>
        <v>13</v>
      </c>
      <c r="H88" s="19">
        <f>ROUND(H9*Assumptions!C96,0)</f>
        <v>14</v>
      </c>
      <c r="I88" s="19">
        <f>ROUND(I9*Assumptions!C96,0)</f>
        <v>16</v>
      </c>
      <c r="J88" s="19">
        <f>ROUND(J9*Assumptions!C96,0)</f>
        <v>17</v>
      </c>
      <c r="K88" s="19">
        <f>ROUND(K9*Assumptions!C96,0)</f>
        <v>19</v>
      </c>
      <c r="L88" s="19">
        <f>ROUND(L9*Assumptions!C96,0)</f>
        <v>20</v>
      </c>
      <c r="M88" s="19">
        <f>ROUND(M9*Assumptions!C96,0)</f>
        <v>22</v>
      </c>
      <c r="N88" s="19">
        <f>ROUND(N9*Assumptions!C96,0)</f>
        <v>24</v>
      </c>
      <c r="O88" s="19">
        <f>ROUND(O9*Assumptions!C96,0)</f>
        <v>26</v>
      </c>
      <c r="P88" s="19">
        <f>ROUND(P9*Assumptions!C96,0)</f>
        <v>29</v>
      </c>
      <c r="Q88" s="19">
        <f>ROUND(Q9*Assumptions!C96,0)</f>
        <v>31</v>
      </c>
      <c r="R88" s="19">
        <f>ROUND(R9*Assumptions!C96,0)</f>
        <v>34</v>
      </c>
      <c r="S88" s="19">
        <f>ROUND(S9*Assumptions!C96,0)</f>
        <v>37</v>
      </c>
      <c r="T88" s="19">
        <f>ROUND(T9*Assumptions!C96,0)</f>
        <v>41</v>
      </c>
      <c r="U88" s="19">
        <f>ROUND(U9*Assumptions!C96,0)</f>
        <v>44</v>
      </c>
      <c r="V88" s="19">
        <f>ROUND(V9*Assumptions!C96,0)</f>
        <v>49</v>
      </c>
      <c r="W88" s="19">
        <f>ROUND(W9*Assumptions!C96,0)</f>
        <v>53</v>
      </c>
      <c r="X88" s="19">
        <f>ROUND(X9*Assumptions!C96,0)</f>
        <v>58</v>
      </c>
      <c r="Y88" s="19">
        <f>ROUND(Y9*Assumptions!C96,0)</f>
        <v>63</v>
      </c>
      <c r="Z88" s="19">
        <f>ROUND(Z9*Assumptions!C96,0)</f>
        <v>69</v>
      </c>
    </row>
    <row r="89" spans="2:26" x14ac:dyDescent="0.55000000000000004">
      <c r="B89" s="5" t="s">
        <v>265</v>
      </c>
      <c r="C89" s="19">
        <f>ROUND(C88*Assumptions!C97,0)</f>
        <v>5</v>
      </c>
      <c r="D89" s="19">
        <f>ROUND(D88*Assumptions!C97,0)</f>
        <v>6</v>
      </c>
      <c r="E89" s="19">
        <f>ROUND(E88*Assumptions!C97,0)</f>
        <v>7</v>
      </c>
      <c r="F89" s="19">
        <f>ROUND(F88*Assumptions!C97,0)</f>
        <v>7</v>
      </c>
      <c r="G89" s="19">
        <f>ROUND(G88*Assumptions!C97,0)</f>
        <v>8</v>
      </c>
      <c r="H89" s="19">
        <f>ROUND(H88*Assumptions!C97,0)</f>
        <v>8</v>
      </c>
      <c r="I89" s="19">
        <f>ROUND(I88*Assumptions!C97,0)</f>
        <v>10</v>
      </c>
      <c r="J89" s="19">
        <f>ROUND(J88*Assumptions!C97,0)</f>
        <v>10</v>
      </c>
      <c r="K89" s="19">
        <f>ROUND(K88*Assumptions!C97,0)</f>
        <v>11</v>
      </c>
      <c r="L89" s="19">
        <f>ROUND(L88*Assumptions!C97,0)</f>
        <v>12</v>
      </c>
      <c r="M89" s="19">
        <f>ROUND(M88*Assumptions!C97,0)</f>
        <v>13</v>
      </c>
      <c r="N89" s="19">
        <f>ROUND(N88*Assumptions!C97,0)</f>
        <v>14</v>
      </c>
      <c r="O89" s="19">
        <f>ROUND(O88*Assumptions!C97,0)</f>
        <v>16</v>
      </c>
      <c r="P89" s="19">
        <f>ROUND(P88*Assumptions!C97,0)</f>
        <v>17</v>
      </c>
      <c r="Q89" s="19">
        <f>ROUND(Q88*Assumptions!C97,0)</f>
        <v>19</v>
      </c>
      <c r="R89" s="19">
        <f>ROUND(R88*Assumptions!C97,0)</f>
        <v>20</v>
      </c>
      <c r="S89" s="19">
        <f>ROUND(S88*Assumptions!C97,0)</f>
        <v>22</v>
      </c>
      <c r="T89" s="19">
        <f>ROUND(T88*Assumptions!C97,0)</f>
        <v>25</v>
      </c>
      <c r="U89" s="19">
        <f>ROUND(U88*Assumptions!C97,0)</f>
        <v>26</v>
      </c>
      <c r="V89" s="19">
        <f>ROUND(V88*Assumptions!C97,0)</f>
        <v>29</v>
      </c>
      <c r="W89" s="19">
        <f>ROUND(W88*Assumptions!C97,0)</f>
        <v>32</v>
      </c>
      <c r="X89" s="19">
        <f>ROUND(X88*Assumptions!C97,0)</f>
        <v>35</v>
      </c>
      <c r="Y89" s="19">
        <f>ROUND(Y88*Assumptions!C97,0)</f>
        <v>38</v>
      </c>
      <c r="Z89" s="19">
        <f>ROUND(Z88*Assumptions!C97,0)</f>
        <v>41</v>
      </c>
    </row>
    <row r="90" spans="2:26" x14ac:dyDescent="0.55000000000000004">
      <c r="B90" s="5" t="s">
        <v>266</v>
      </c>
      <c r="C90" s="19">
        <f t="shared" ref="C90:Z90" si="27">C88-C89</f>
        <v>4</v>
      </c>
      <c r="D90" s="19">
        <f t="shared" si="27"/>
        <v>4</v>
      </c>
      <c r="E90" s="19">
        <f t="shared" si="27"/>
        <v>4</v>
      </c>
      <c r="F90" s="19">
        <f t="shared" si="27"/>
        <v>5</v>
      </c>
      <c r="G90" s="19">
        <f t="shared" si="27"/>
        <v>5</v>
      </c>
      <c r="H90" s="19">
        <f t="shared" si="27"/>
        <v>6</v>
      </c>
      <c r="I90" s="19">
        <f t="shared" si="27"/>
        <v>6</v>
      </c>
      <c r="J90" s="19">
        <f t="shared" si="27"/>
        <v>7</v>
      </c>
      <c r="K90" s="19">
        <f t="shared" si="27"/>
        <v>8</v>
      </c>
      <c r="L90" s="19">
        <f t="shared" si="27"/>
        <v>8</v>
      </c>
      <c r="M90" s="19">
        <f t="shared" si="27"/>
        <v>9</v>
      </c>
      <c r="N90" s="19">
        <f t="shared" si="27"/>
        <v>10</v>
      </c>
      <c r="O90" s="19">
        <f t="shared" si="27"/>
        <v>10</v>
      </c>
      <c r="P90" s="19">
        <f t="shared" si="27"/>
        <v>12</v>
      </c>
      <c r="Q90" s="19">
        <f t="shared" si="27"/>
        <v>12</v>
      </c>
      <c r="R90" s="19">
        <f t="shared" si="27"/>
        <v>14</v>
      </c>
      <c r="S90" s="19">
        <f t="shared" si="27"/>
        <v>15</v>
      </c>
      <c r="T90" s="19">
        <f t="shared" si="27"/>
        <v>16</v>
      </c>
      <c r="U90" s="19">
        <f t="shared" si="27"/>
        <v>18</v>
      </c>
      <c r="V90" s="19">
        <f t="shared" si="27"/>
        <v>20</v>
      </c>
      <c r="W90" s="19">
        <f t="shared" si="27"/>
        <v>21</v>
      </c>
      <c r="X90" s="19">
        <f t="shared" si="27"/>
        <v>23</v>
      </c>
      <c r="Y90" s="19">
        <f t="shared" si="27"/>
        <v>25</v>
      </c>
      <c r="Z90" s="19">
        <f t="shared" si="27"/>
        <v>28</v>
      </c>
    </row>
    <row r="91" spans="2:26" x14ac:dyDescent="0.55000000000000004">
      <c r="B91" s="5" t="s">
        <v>267</v>
      </c>
      <c r="C91" s="19">
        <f>ROUND(C9*Assumptions!C101,0)</f>
        <v>5</v>
      </c>
      <c r="D91" s="19">
        <f>ROUND(D9*Assumptions!C101,0)</f>
        <v>5</v>
      </c>
      <c r="E91" s="19">
        <f>ROUND(E9*Assumptions!C101,0)</f>
        <v>6</v>
      </c>
      <c r="F91" s="19">
        <f>ROUND(F9*Assumptions!C101,0)</f>
        <v>6</v>
      </c>
      <c r="G91" s="19">
        <f>ROUND(G9*Assumptions!C101,0)</f>
        <v>7</v>
      </c>
      <c r="H91" s="19">
        <f>ROUND(H9*Assumptions!C101,0)</f>
        <v>7</v>
      </c>
      <c r="I91" s="19">
        <f>ROUND(I9*Assumptions!C101,0)</f>
        <v>8</v>
      </c>
      <c r="J91" s="19">
        <f>ROUND(J9*Assumptions!C101,0)</f>
        <v>8</v>
      </c>
      <c r="K91" s="19">
        <f>ROUND(K9*Assumptions!C101,0)</f>
        <v>9</v>
      </c>
      <c r="L91" s="19">
        <f>ROUND(L9*Assumptions!C101,0)</f>
        <v>10</v>
      </c>
      <c r="M91" s="19">
        <f>ROUND(M9*Assumptions!C101,0)</f>
        <v>11</v>
      </c>
      <c r="N91" s="19">
        <f>ROUND(N9*Assumptions!C101,0)</f>
        <v>12</v>
      </c>
      <c r="O91" s="19">
        <f>ROUND(O9*Assumptions!C101,0)</f>
        <v>13</v>
      </c>
      <c r="P91" s="19">
        <f>ROUND(P9*Assumptions!C101,0)</f>
        <v>14</v>
      </c>
      <c r="Q91" s="19">
        <f>ROUND(Q9*Assumptions!C101,0)</f>
        <v>16</v>
      </c>
      <c r="R91" s="19">
        <f>ROUND(R9*Assumptions!C101,0)</f>
        <v>17</v>
      </c>
      <c r="S91" s="19">
        <f>ROUND(S9*Assumptions!C101,0)</f>
        <v>19</v>
      </c>
      <c r="T91" s="19">
        <f>ROUND(T9*Assumptions!C101,0)</f>
        <v>20</v>
      </c>
      <c r="U91" s="19">
        <f>ROUND(U9*Assumptions!C101,0)</f>
        <v>22</v>
      </c>
      <c r="V91" s="19">
        <f>ROUND(V9*Assumptions!C101,0)</f>
        <v>24</v>
      </c>
      <c r="W91" s="19">
        <f>ROUND(W9*Assumptions!C101,0)</f>
        <v>27</v>
      </c>
      <c r="X91" s="19">
        <f>ROUND(X9*Assumptions!C101,0)</f>
        <v>29</v>
      </c>
      <c r="Y91" s="19">
        <f>ROUND(Y9*Assumptions!C101,0)</f>
        <v>32</v>
      </c>
      <c r="Z91" s="19">
        <f>ROUND(Z9*Assumptions!C101,0)</f>
        <v>35</v>
      </c>
    </row>
    <row r="93" spans="2:26" x14ac:dyDescent="0.55000000000000004">
      <c r="B93" s="12" t="s">
        <v>268</v>
      </c>
    </row>
    <row r="94" spans="2:26" x14ac:dyDescent="0.55000000000000004">
      <c r="B94" s="5" t="s">
        <v>269</v>
      </c>
      <c r="C94" s="29">
        <f t="shared" ref="C94:Z94" si="28">IF(C9&gt;0, C88*(C52/C9), 0)</f>
        <v>351.18406451612907</v>
      </c>
      <c r="D94" s="29">
        <f t="shared" si="28"/>
        <v>395.44201183431949</v>
      </c>
      <c r="E94" s="29">
        <f t="shared" si="28"/>
        <v>441.65777173913045</v>
      </c>
      <c r="F94" s="29">
        <f t="shared" si="28"/>
        <v>487.94939999999997</v>
      </c>
      <c r="G94" s="29">
        <f t="shared" si="28"/>
        <v>536.53087155963294</v>
      </c>
      <c r="H94" s="29">
        <f t="shared" si="28"/>
        <v>584.81823529411747</v>
      </c>
      <c r="I94" s="29">
        <f t="shared" si="28"/>
        <v>674.07567567567571</v>
      </c>
      <c r="J94" s="29">
        <f t="shared" si="28"/>
        <v>724.52678445229674</v>
      </c>
      <c r="K94" s="29">
        <f t="shared" si="28"/>
        <v>817.23673139158586</v>
      </c>
      <c r="L94" s="29">
        <f t="shared" si="28"/>
        <v>870.14201183431953</v>
      </c>
      <c r="M94" s="29">
        <f t="shared" si="28"/>
        <v>963.99217391304353</v>
      </c>
      <c r="N94" s="29">
        <f t="shared" si="28"/>
        <v>1061.114812967581</v>
      </c>
      <c r="O94" s="29">
        <f t="shared" si="28"/>
        <v>1158.9276887871854</v>
      </c>
      <c r="P94" s="29">
        <f t="shared" si="28"/>
        <v>1301.5468067226886</v>
      </c>
      <c r="Q94" s="29">
        <f t="shared" si="28"/>
        <v>1402.0137500000001</v>
      </c>
      <c r="R94" s="29">
        <f t="shared" si="28"/>
        <v>1546.8766901408451</v>
      </c>
      <c r="S94" s="29">
        <f t="shared" si="28"/>
        <v>1694.5606763285025</v>
      </c>
      <c r="T94" s="29">
        <f t="shared" si="28"/>
        <v>1889.1614749262537</v>
      </c>
      <c r="U94" s="29">
        <f t="shared" si="28"/>
        <v>2041.4177058029688</v>
      </c>
      <c r="V94" s="29">
        <f t="shared" si="28"/>
        <v>2286.9680964153272</v>
      </c>
      <c r="W94" s="29">
        <f t="shared" si="28"/>
        <v>2489.1515950226244</v>
      </c>
      <c r="X94" s="29">
        <f t="shared" si="28"/>
        <v>2738.4121199586348</v>
      </c>
      <c r="Y94" s="29">
        <f t="shared" si="28"/>
        <v>2992.6233774834441</v>
      </c>
      <c r="Z94" s="29">
        <f t="shared" si="28"/>
        <v>3294.2637142857138</v>
      </c>
    </row>
    <row r="95" spans="2:26" x14ac:dyDescent="0.55000000000000004">
      <c r="B95" s="5" t="s">
        <v>270</v>
      </c>
      <c r="C95" s="29">
        <f>C88*Assumptions!C99</f>
        <v>45</v>
      </c>
      <c r="D95" s="29">
        <f>D88*Assumptions!C99</f>
        <v>50</v>
      </c>
      <c r="E95" s="29">
        <f>E88*Assumptions!C99</f>
        <v>55</v>
      </c>
      <c r="F95" s="29">
        <f>F88*Assumptions!C99</f>
        <v>60</v>
      </c>
      <c r="G95" s="29">
        <f>G88*Assumptions!C99</f>
        <v>65</v>
      </c>
      <c r="H95" s="29">
        <f>H88*Assumptions!C99</f>
        <v>70</v>
      </c>
      <c r="I95" s="29">
        <f>I88*Assumptions!C99</f>
        <v>80</v>
      </c>
      <c r="J95" s="29">
        <f>J88*Assumptions!C99</f>
        <v>85</v>
      </c>
      <c r="K95" s="29">
        <f>K88*Assumptions!C99</f>
        <v>95</v>
      </c>
      <c r="L95" s="29">
        <f>L88*Assumptions!C99</f>
        <v>100</v>
      </c>
      <c r="M95" s="29">
        <f>M88*Assumptions!C99</f>
        <v>110</v>
      </c>
      <c r="N95" s="29">
        <f>N88*Assumptions!C99</f>
        <v>120</v>
      </c>
      <c r="O95" s="29">
        <f>O88*Assumptions!C99</f>
        <v>130</v>
      </c>
      <c r="P95" s="29">
        <f>P88*Assumptions!C99</f>
        <v>145</v>
      </c>
      <c r="Q95" s="29">
        <f>Q88*Assumptions!C99</f>
        <v>155</v>
      </c>
      <c r="R95" s="29">
        <f>R88*Assumptions!C99</f>
        <v>170</v>
      </c>
      <c r="S95" s="29">
        <f>S88*Assumptions!C99</f>
        <v>185</v>
      </c>
      <c r="T95" s="29">
        <f>T88*Assumptions!C99</f>
        <v>205</v>
      </c>
      <c r="U95" s="29">
        <f>U88*Assumptions!C99</f>
        <v>220</v>
      </c>
      <c r="V95" s="29">
        <f>V88*Assumptions!C99</f>
        <v>245</v>
      </c>
      <c r="W95" s="29">
        <f>W88*Assumptions!C99</f>
        <v>265</v>
      </c>
      <c r="X95" s="29">
        <f>X88*Assumptions!C99</f>
        <v>290</v>
      </c>
      <c r="Y95" s="29">
        <f>Y88*Assumptions!C99</f>
        <v>315</v>
      </c>
      <c r="Z95" s="29">
        <f>Z88*Assumptions!C99</f>
        <v>345</v>
      </c>
    </row>
    <row r="96" spans="2:26" x14ac:dyDescent="0.55000000000000004">
      <c r="B96" s="5" t="s">
        <v>271</v>
      </c>
      <c r="C96" s="29">
        <f>C88*Assumptions!C100</f>
        <v>18</v>
      </c>
      <c r="D96" s="29">
        <f>D88*Assumptions!C100</f>
        <v>20</v>
      </c>
      <c r="E96" s="29">
        <f>E88*Assumptions!C100</f>
        <v>22</v>
      </c>
      <c r="F96" s="29">
        <f>F88*Assumptions!C100</f>
        <v>24</v>
      </c>
      <c r="G96" s="29">
        <f>G88*Assumptions!C100</f>
        <v>26</v>
      </c>
      <c r="H96" s="29">
        <f>H88*Assumptions!C100</f>
        <v>28</v>
      </c>
      <c r="I96" s="29">
        <f>I88*Assumptions!C100</f>
        <v>32</v>
      </c>
      <c r="J96" s="29">
        <f>J88*Assumptions!C100</f>
        <v>34</v>
      </c>
      <c r="K96" s="29">
        <f>K88*Assumptions!C100</f>
        <v>38</v>
      </c>
      <c r="L96" s="29">
        <f>L88*Assumptions!C100</f>
        <v>40</v>
      </c>
      <c r="M96" s="29">
        <f>M88*Assumptions!C100</f>
        <v>44</v>
      </c>
      <c r="N96" s="29">
        <f>N88*Assumptions!C100</f>
        <v>48</v>
      </c>
      <c r="O96" s="29">
        <f>O88*Assumptions!C100</f>
        <v>52</v>
      </c>
      <c r="P96" s="29">
        <f>P88*Assumptions!C100</f>
        <v>58</v>
      </c>
      <c r="Q96" s="29">
        <f>Q88*Assumptions!C100</f>
        <v>62</v>
      </c>
      <c r="R96" s="29">
        <f>R88*Assumptions!C100</f>
        <v>68</v>
      </c>
      <c r="S96" s="29">
        <f>S88*Assumptions!C100</f>
        <v>74</v>
      </c>
      <c r="T96" s="29">
        <f>T88*Assumptions!C100</f>
        <v>82</v>
      </c>
      <c r="U96" s="29">
        <f>U88*Assumptions!C100</f>
        <v>88</v>
      </c>
      <c r="V96" s="29">
        <f>V88*Assumptions!C100</f>
        <v>98</v>
      </c>
      <c r="W96" s="29">
        <f>W88*Assumptions!C100</f>
        <v>106</v>
      </c>
      <c r="X96" s="29">
        <f>X88*Assumptions!C100</f>
        <v>116</v>
      </c>
      <c r="Y96" s="29">
        <f>Y88*Assumptions!C100</f>
        <v>126</v>
      </c>
      <c r="Z96" s="29">
        <f>Z88*Assumptions!C100</f>
        <v>138</v>
      </c>
    </row>
    <row r="97" spans="2:26" x14ac:dyDescent="0.55000000000000004">
      <c r="B97" s="5" t="s">
        <v>272</v>
      </c>
      <c r="C97" s="29">
        <f t="shared" ref="C97:Z97" si="29">IF(C9&gt;0, C90*(C59/C9), 0)</f>
        <v>35.187096774193549</v>
      </c>
      <c r="D97" s="29">
        <f t="shared" si="29"/>
        <v>35.26627218934911</v>
      </c>
      <c r="E97" s="29">
        <f t="shared" si="29"/>
        <v>35.391304347826086</v>
      </c>
      <c r="F97" s="29">
        <f t="shared" si="29"/>
        <v>44.325000000000003</v>
      </c>
      <c r="G97" s="29">
        <f t="shared" si="29"/>
        <v>44.449541284403665</v>
      </c>
      <c r="H97" s="29">
        <f t="shared" si="29"/>
        <v>53.432773109243698</v>
      </c>
      <c r="I97" s="29">
        <f t="shared" si="29"/>
        <v>53.513513513513516</v>
      </c>
      <c r="J97" s="29">
        <f t="shared" si="29"/>
        <v>62.530035335689043</v>
      </c>
      <c r="K97" s="29">
        <f t="shared" si="29"/>
        <v>71.572815533980588</v>
      </c>
      <c r="L97" s="29">
        <f t="shared" si="29"/>
        <v>71.715976331360949</v>
      </c>
      <c r="M97" s="29">
        <f t="shared" si="29"/>
        <v>80.755434782608688</v>
      </c>
      <c r="N97" s="29">
        <f t="shared" si="29"/>
        <v>89.850374064837908</v>
      </c>
      <c r="O97" s="29">
        <f t="shared" si="29"/>
        <v>89.988558352402748</v>
      </c>
      <c r="P97" s="29">
        <f t="shared" si="29"/>
        <v>108.07563025210085</v>
      </c>
      <c r="Q97" s="29">
        <f t="shared" si="29"/>
        <v>108.19615384615385</v>
      </c>
      <c r="R97" s="29">
        <f t="shared" si="29"/>
        <v>126.32042253521126</v>
      </c>
      <c r="S97" s="29">
        <f t="shared" si="29"/>
        <v>135.47101449275362</v>
      </c>
      <c r="T97" s="29">
        <f t="shared" si="29"/>
        <v>144.62536873156341</v>
      </c>
      <c r="U97" s="29">
        <f t="shared" si="29"/>
        <v>162.82591093117409</v>
      </c>
      <c r="V97" s="29">
        <f t="shared" si="29"/>
        <v>181.03831891223734</v>
      </c>
      <c r="W97" s="29">
        <f t="shared" si="29"/>
        <v>190.25904977375566</v>
      </c>
      <c r="X97" s="29">
        <f t="shared" si="29"/>
        <v>208.47466390899689</v>
      </c>
      <c r="Y97" s="29">
        <f t="shared" si="29"/>
        <v>226.78571428571428</v>
      </c>
      <c r="Z97" s="29">
        <f t="shared" si="29"/>
        <v>254.1090909090909</v>
      </c>
    </row>
    <row r="98" spans="2:26" x14ac:dyDescent="0.55000000000000004">
      <c r="B98" s="5" t="s">
        <v>273</v>
      </c>
      <c r="C98" s="29">
        <f>IF(C9&gt;0, -C89*(C59/C9)*Assumptions!C98, 0)</f>
        <v>-35.187096774193549</v>
      </c>
      <c r="D98" s="29">
        <f>IF(D9&gt;0, -D89*(D59/D9)*Assumptions!C98, 0)</f>
        <v>-42.319526627218934</v>
      </c>
      <c r="E98" s="29">
        <f>IF(E9&gt;0, -E89*(E59/E9)*Assumptions!C98, 0)</f>
        <v>-49.547826086956519</v>
      </c>
      <c r="F98" s="29">
        <f>IF(F9&gt;0, -F89*(F59/F9)*Assumptions!C98, 0)</f>
        <v>-49.644000000000005</v>
      </c>
      <c r="G98" s="29">
        <f>IF(G9&gt;0, -G89*(G59/G9)*Assumptions!C98, 0)</f>
        <v>-56.895412844036699</v>
      </c>
      <c r="H98" s="29">
        <f>IF(H9&gt;0, -H89*(H59/H9)*Assumptions!C98, 0)</f>
        <v>-56.994957983193274</v>
      </c>
      <c r="I98" s="29">
        <f>IF(I9&gt;0, -I89*(I59/I9)*Assumptions!C98, 0)</f>
        <v>-71.351351351351354</v>
      </c>
      <c r="J98" s="29">
        <f>IF(J9&gt;0, -J89*(J59/J9)*Assumptions!C98, 0)</f>
        <v>-71.462897526501763</v>
      </c>
      <c r="K98" s="29">
        <f>IF(K9&gt;0, -K89*(K59/K9)*Assumptions!C98, 0)</f>
        <v>-78.730097087378653</v>
      </c>
      <c r="L98" s="29">
        <f>IF(L9&gt;0, -L89*(L59/L9)*Assumptions!C98, 0)</f>
        <v>-86.059171597633153</v>
      </c>
      <c r="M98" s="29">
        <f>IF(M9&gt;0, -M89*(M59/M9)*Assumptions!C98, 0)</f>
        <v>-93.317391304347836</v>
      </c>
      <c r="N98" s="29">
        <f>IF(N9&gt;0, -N89*(N59/N9)*Assumptions!C98, 0)</f>
        <v>-100.63241895261847</v>
      </c>
      <c r="O98" s="29">
        <f>IF(O9&gt;0, -O89*(O59/O9)*Assumptions!C98, 0)</f>
        <v>-115.18535469107552</v>
      </c>
      <c r="P98" s="29">
        <f>IF(P9&gt;0, -P89*(P59/P9)*Assumptions!C98, 0)</f>
        <v>-122.48571428571429</v>
      </c>
      <c r="Q98" s="29">
        <f>IF(Q9&gt;0, -Q89*(Q59/Q9)*Assumptions!C98, 0)</f>
        <v>-137.04846153846154</v>
      </c>
      <c r="R98" s="29">
        <f>IF(R9&gt;0, -R89*(R59/R9)*Assumptions!C98, 0)</f>
        <v>-144.36619718309859</v>
      </c>
      <c r="S98" s="29">
        <f>IF(S9&gt;0, -S89*(S59/S9)*Assumptions!C98, 0)</f>
        <v>-158.95265700483094</v>
      </c>
      <c r="T98" s="29">
        <f>IF(T9&gt;0, -T89*(T59/T9)*Assumptions!C98, 0)</f>
        <v>-180.78171091445427</v>
      </c>
      <c r="U98" s="29">
        <f>IF(U9&gt;0, -U89*(U59/U9)*Assumptions!C98, 0)</f>
        <v>-188.15438596491231</v>
      </c>
      <c r="V98" s="29">
        <f>IF(V9&gt;0, -V89*(V59/V9)*Assumptions!C98, 0)</f>
        <v>-210.00444993819534</v>
      </c>
      <c r="W98" s="29">
        <f>IF(W9&gt;0, -W89*(W59/W9)*Assumptions!C98, 0)</f>
        <v>-231.9348416289593</v>
      </c>
      <c r="X98" s="29">
        <f>IF(X9&gt;0, -X89*(X59/X9)*Assumptions!C98, 0)</f>
        <v>-253.79524301964841</v>
      </c>
      <c r="Y98" s="29">
        <f>IF(Y9&gt;0, -Y89*(Y59/Y9)*Assumptions!C98, 0)</f>
        <v>-275.7714285714286</v>
      </c>
      <c r="Z98" s="29">
        <f>IF(Z9&gt;0, -Z89*(Z59/Z9)*Assumptions!C98, 0)</f>
        <v>-297.67064935064934</v>
      </c>
    </row>
    <row r="99" spans="2:26" x14ac:dyDescent="0.55000000000000004">
      <c r="B99" s="5" t="s">
        <v>274</v>
      </c>
      <c r="C99" s="29">
        <f>IF(C9&gt;0, C91*(C59/C9)*Assumptions!C103, 0)</f>
        <v>43.983870967741936</v>
      </c>
      <c r="D99" s="29">
        <f>IF(D9&gt;0, D91*(D59/D9)*Assumptions!C103, 0)</f>
        <v>44.082840236686387</v>
      </c>
      <c r="E99" s="29">
        <f>IF(E9&gt;0, E91*(E59/E9)*Assumptions!C103, 0)</f>
        <v>53.086956521739125</v>
      </c>
      <c r="F99" s="29">
        <f>IF(F9&gt;0, F91*(F59/F9)*Assumptions!C103, 0)</f>
        <v>53.19</v>
      </c>
      <c r="G99" s="29">
        <f>IF(G9&gt;0, G91*(G59/G9)*Assumptions!C103, 0)</f>
        <v>62.22935779816514</v>
      </c>
      <c r="H99" s="29">
        <f>IF(H9&gt;0, H91*(H59/H9)*Assumptions!C103, 0)</f>
        <v>62.338235294117645</v>
      </c>
      <c r="I99" s="29">
        <f>IF(I9&gt;0, I91*(I59/I9)*Assumptions!C103, 0)</f>
        <v>71.351351351351354</v>
      </c>
      <c r="J99" s="29">
        <f>IF(J9&gt;0, J91*(J59/J9)*Assumptions!C103, 0)</f>
        <v>71.462897526501763</v>
      </c>
      <c r="K99" s="29">
        <f>IF(K9&gt;0, K91*(K59/K9)*Assumptions!C103, 0)</f>
        <v>80.519417475728162</v>
      </c>
      <c r="L99" s="29">
        <f>IF(L9&gt;0, L91*(L59/L9)*Assumptions!C103, 0)</f>
        <v>89.644970414201183</v>
      </c>
      <c r="M99" s="29">
        <f>IF(M9&gt;0, M91*(M59/M9)*Assumptions!C103, 0)</f>
        <v>98.701086956521735</v>
      </c>
      <c r="N99" s="29">
        <f>IF(N9&gt;0, N91*(N59/N9)*Assumptions!C103, 0)</f>
        <v>107.82044887780549</v>
      </c>
      <c r="O99" s="29">
        <f>IF(O9&gt;0, O91*(O59/O9)*Assumptions!C103, 0)</f>
        <v>116.98512585812357</v>
      </c>
      <c r="P99" s="29">
        <f>IF(P9&gt;0, P91*(P59/P9)*Assumptions!C103, 0)</f>
        <v>126.08823529411765</v>
      </c>
      <c r="Q99" s="29">
        <f>IF(Q9&gt;0, Q91*(Q59/Q9)*Assumptions!C103, 0)</f>
        <v>144.26153846153846</v>
      </c>
      <c r="R99" s="29">
        <f>IF(R9&gt;0, R91*(R59/R9)*Assumptions!C103, 0)</f>
        <v>153.38908450704224</v>
      </c>
      <c r="S99" s="29">
        <f>IF(S9&gt;0, S91*(S59/S9)*Assumptions!C103, 0)</f>
        <v>171.59661835748793</v>
      </c>
      <c r="T99" s="29">
        <f>IF(T9&gt;0, T91*(T59/T9)*Assumptions!C103, 0)</f>
        <v>180.78171091445427</v>
      </c>
      <c r="U99" s="29">
        <f>IF(U9&gt;0, U91*(U59/U9)*Assumptions!C103, 0)</f>
        <v>199.00944669365722</v>
      </c>
      <c r="V99" s="29">
        <f>IF(V9&gt;0, V91*(V59/V9)*Assumptions!C103, 0)</f>
        <v>217.24598269468481</v>
      </c>
      <c r="W99" s="29">
        <f>IF(W9&gt;0, W91*(W59/W9)*Assumptions!C103, 0)</f>
        <v>244.61877828054301</v>
      </c>
      <c r="X99" s="29">
        <f>IF(X9&gt;0, X91*(X59/X9)*Assumptions!C103, 0)</f>
        <v>262.85935884177866</v>
      </c>
      <c r="Y99" s="29">
        <f>IF(Y9&gt;0, Y91*(Y59/Y9)*Assumptions!C103, 0)</f>
        <v>290.28571428571428</v>
      </c>
      <c r="Z99" s="29">
        <f>IF(Z9&gt;0, Z91*(Z59/Z9)*Assumptions!C103, 0)</f>
        <v>317.63636363636363</v>
      </c>
    </row>
    <row r="100" spans="2:26" x14ac:dyDescent="0.55000000000000004">
      <c r="B100" s="5" t="s">
        <v>275</v>
      </c>
      <c r="C100" s="29">
        <f>C91*Assumptions!C102</f>
        <v>17.5</v>
      </c>
      <c r="D100" s="29">
        <f>D91*Assumptions!C102</f>
        <v>17.5</v>
      </c>
      <c r="E100" s="29">
        <f>E91*Assumptions!C102</f>
        <v>21</v>
      </c>
      <c r="F100" s="29">
        <f>F91*Assumptions!C102</f>
        <v>21</v>
      </c>
      <c r="G100" s="29">
        <f>G91*Assumptions!C102</f>
        <v>24.5</v>
      </c>
      <c r="H100" s="29">
        <f>H91*Assumptions!C102</f>
        <v>24.5</v>
      </c>
      <c r="I100" s="29">
        <f>I91*Assumptions!C102</f>
        <v>28</v>
      </c>
      <c r="J100" s="29">
        <f>J91*Assumptions!C102</f>
        <v>28</v>
      </c>
      <c r="K100" s="29">
        <f>K91*Assumptions!C102</f>
        <v>31.5</v>
      </c>
      <c r="L100" s="29">
        <f>L91*Assumptions!C102</f>
        <v>35</v>
      </c>
      <c r="M100" s="29">
        <f>M91*Assumptions!C102</f>
        <v>38.5</v>
      </c>
      <c r="N100" s="29">
        <f>N91*Assumptions!C102</f>
        <v>42</v>
      </c>
      <c r="O100" s="29">
        <f>O91*Assumptions!C102</f>
        <v>45.5</v>
      </c>
      <c r="P100" s="29">
        <f>P91*Assumptions!C102</f>
        <v>49</v>
      </c>
      <c r="Q100" s="29">
        <f>Q91*Assumptions!C102</f>
        <v>56</v>
      </c>
      <c r="R100" s="29">
        <f>R91*Assumptions!C102</f>
        <v>59.5</v>
      </c>
      <c r="S100" s="29">
        <f>S91*Assumptions!C102</f>
        <v>66.5</v>
      </c>
      <c r="T100" s="29">
        <f>T91*Assumptions!C102</f>
        <v>70</v>
      </c>
      <c r="U100" s="29">
        <f>U91*Assumptions!C102</f>
        <v>77</v>
      </c>
      <c r="V100" s="29">
        <f>V91*Assumptions!C102</f>
        <v>84</v>
      </c>
      <c r="W100" s="29">
        <f>W91*Assumptions!C102</f>
        <v>94.5</v>
      </c>
      <c r="X100" s="29">
        <f>X91*Assumptions!C102</f>
        <v>101.5</v>
      </c>
      <c r="Y100" s="29">
        <f>Y91*Assumptions!C102</f>
        <v>112</v>
      </c>
      <c r="Z100" s="29">
        <f>Z91*Assumptions!C102</f>
        <v>122.5</v>
      </c>
    </row>
    <row r="101" spans="2:26" x14ac:dyDescent="0.55000000000000004">
      <c r="B101" s="27" t="s">
        <v>276</v>
      </c>
      <c r="C101" s="32">
        <f t="shared" ref="C101:Z101" si="30">C94+C95+C96+C97+C98+C99+C100</f>
        <v>475.66793548387102</v>
      </c>
      <c r="D101" s="32">
        <f t="shared" si="30"/>
        <v>519.97159763313607</v>
      </c>
      <c r="E101" s="32">
        <f t="shared" si="30"/>
        <v>578.58820652173915</v>
      </c>
      <c r="F101" s="32">
        <f t="shared" si="30"/>
        <v>640.82040000000006</v>
      </c>
      <c r="G101" s="32">
        <f t="shared" si="30"/>
        <v>701.81435779816502</v>
      </c>
      <c r="H101" s="32">
        <f t="shared" si="30"/>
        <v>766.09428571428555</v>
      </c>
      <c r="I101" s="32">
        <f t="shared" si="30"/>
        <v>867.58918918918926</v>
      </c>
      <c r="J101" s="32">
        <f t="shared" si="30"/>
        <v>934.05681978798589</v>
      </c>
      <c r="K101" s="32">
        <f t="shared" si="30"/>
        <v>1055.0988673139159</v>
      </c>
      <c r="L101" s="32">
        <f t="shared" si="30"/>
        <v>1120.4437869822486</v>
      </c>
      <c r="M101" s="32">
        <f t="shared" si="30"/>
        <v>1242.6313043478262</v>
      </c>
      <c r="N101" s="32">
        <f t="shared" si="30"/>
        <v>1368.153216957606</v>
      </c>
      <c r="O101" s="32">
        <f t="shared" si="30"/>
        <v>1478.2160183066364</v>
      </c>
      <c r="P101" s="32">
        <f t="shared" si="30"/>
        <v>1665.2249579831928</v>
      </c>
      <c r="Q101" s="32">
        <f t="shared" si="30"/>
        <v>1790.4229807692311</v>
      </c>
      <c r="R101" s="32">
        <f t="shared" si="30"/>
        <v>1979.72</v>
      </c>
      <c r="S101" s="32">
        <f t="shared" si="30"/>
        <v>2168.175652173913</v>
      </c>
      <c r="T101" s="32">
        <f t="shared" si="30"/>
        <v>2390.7868436578169</v>
      </c>
      <c r="U101" s="32">
        <f t="shared" si="30"/>
        <v>2600.0986774628877</v>
      </c>
      <c r="V101" s="32">
        <f t="shared" si="30"/>
        <v>2902.2479480840539</v>
      </c>
      <c r="W101" s="32">
        <f t="shared" si="30"/>
        <v>3157.5945814479637</v>
      </c>
      <c r="X101" s="32">
        <f t="shared" si="30"/>
        <v>3463.4508996897621</v>
      </c>
      <c r="Y101" s="32">
        <f t="shared" si="30"/>
        <v>3786.9233774834438</v>
      </c>
      <c r="Z101" s="32">
        <f t="shared" si="30"/>
        <v>4173.8385194805187</v>
      </c>
    </row>
    <row r="103" spans="2:26" ht="16.8" x14ac:dyDescent="0.65">
      <c r="B103" s="3" t="s">
        <v>277</v>
      </c>
    </row>
    <row r="104" spans="2:26" x14ac:dyDescent="0.55000000000000004">
      <c r="B104" s="30" t="s">
        <v>278</v>
      </c>
      <c r="C104" s="31">
        <f t="shared" ref="C104:Z104" si="31">C52-C94</f>
        <v>5696.9859354838718</v>
      </c>
      <c r="D104" s="31">
        <f t="shared" si="31"/>
        <v>6287.5279881656797</v>
      </c>
      <c r="E104" s="31">
        <f t="shared" si="31"/>
        <v>6946.0722282608695</v>
      </c>
      <c r="F104" s="31">
        <f t="shared" si="31"/>
        <v>7644.5406000000003</v>
      </c>
      <c r="G104" s="31">
        <f t="shared" si="31"/>
        <v>8460.6791284403662</v>
      </c>
      <c r="H104" s="31">
        <f t="shared" si="31"/>
        <v>9357.0917647058814</v>
      </c>
      <c r="I104" s="31">
        <f t="shared" si="31"/>
        <v>10237.524324324324</v>
      </c>
      <c r="J104" s="31">
        <f t="shared" si="31"/>
        <v>11336.713215547703</v>
      </c>
      <c r="K104" s="31">
        <f t="shared" si="31"/>
        <v>12473.613268608415</v>
      </c>
      <c r="L104" s="31">
        <f t="shared" si="31"/>
        <v>13835.25798816568</v>
      </c>
      <c r="M104" s="31">
        <f t="shared" si="31"/>
        <v>15160.967826086955</v>
      </c>
      <c r="N104" s="31">
        <f t="shared" si="31"/>
        <v>16668.345187032417</v>
      </c>
      <c r="O104" s="31">
        <f t="shared" si="31"/>
        <v>18319.972311212812</v>
      </c>
      <c r="P104" s="31">
        <f t="shared" si="31"/>
        <v>20061.773193277306</v>
      </c>
      <c r="Q104" s="31">
        <f t="shared" si="31"/>
        <v>22115.636250000003</v>
      </c>
      <c r="R104" s="31">
        <f t="shared" si="31"/>
        <v>24295.063309859157</v>
      </c>
      <c r="S104" s="31">
        <f t="shared" si="31"/>
        <v>26746.579323671496</v>
      </c>
      <c r="T104" s="31">
        <f t="shared" si="31"/>
        <v>29351.118525073744</v>
      </c>
      <c r="U104" s="31">
        <f t="shared" si="31"/>
        <v>32337.912294197034</v>
      </c>
      <c r="V104" s="31">
        <f t="shared" si="31"/>
        <v>35471.34190358466</v>
      </c>
      <c r="W104" s="31">
        <f t="shared" si="31"/>
        <v>39028.018404977374</v>
      </c>
      <c r="X104" s="31">
        <f t="shared" si="31"/>
        <v>42917.527880041358</v>
      </c>
      <c r="Y104" s="31">
        <f t="shared" si="31"/>
        <v>47216.94662251656</v>
      </c>
      <c r="Z104" s="31">
        <f t="shared" si="31"/>
        <v>51848.84628571428</v>
      </c>
    </row>
    <row r="105" spans="2:26" x14ac:dyDescent="0.55000000000000004">
      <c r="B105" s="27" t="s">
        <v>279</v>
      </c>
      <c r="C105" s="32">
        <f t="shared" ref="C105:Z105" si="32">C59+C97+C98+C99</f>
        <v>1407.483870967742</v>
      </c>
      <c r="D105" s="32">
        <f t="shared" si="32"/>
        <v>1527.0295857988167</v>
      </c>
      <c r="E105" s="32">
        <f t="shared" si="32"/>
        <v>1666.9304347826087</v>
      </c>
      <c r="F105" s="32">
        <f t="shared" si="32"/>
        <v>1820.8710000000001</v>
      </c>
      <c r="G105" s="32">
        <f t="shared" si="32"/>
        <v>1987.7834862385323</v>
      </c>
      <c r="H105" s="32">
        <f t="shared" si="32"/>
        <v>2178.2760504201678</v>
      </c>
      <c r="I105" s="32">
        <f t="shared" si="32"/>
        <v>2363.5135135135133</v>
      </c>
      <c r="J105" s="32">
        <f t="shared" si="32"/>
        <v>2590.5300353356893</v>
      </c>
      <c r="K105" s="32">
        <f t="shared" si="32"/>
        <v>2837.8621359223303</v>
      </c>
      <c r="L105" s="32">
        <f t="shared" si="32"/>
        <v>3105.3017751479292</v>
      </c>
      <c r="M105" s="32">
        <f t="shared" si="32"/>
        <v>3388.1391304347821</v>
      </c>
      <c r="N105" s="32">
        <f t="shared" si="32"/>
        <v>3700.038403990025</v>
      </c>
      <c r="O105" s="32">
        <f t="shared" si="32"/>
        <v>4024.2883295194506</v>
      </c>
      <c r="P105" s="32">
        <f t="shared" si="32"/>
        <v>4398.6781512605048</v>
      </c>
      <c r="Q105" s="32">
        <f t="shared" si="32"/>
        <v>4803.9092307692308</v>
      </c>
      <c r="R105" s="32">
        <f t="shared" si="32"/>
        <v>5260.343309859154</v>
      </c>
      <c r="S105" s="32">
        <f t="shared" si="32"/>
        <v>5756.6149758454112</v>
      </c>
      <c r="T105" s="32">
        <f t="shared" si="32"/>
        <v>6273.1253687315639</v>
      </c>
      <c r="U105" s="32">
        <f t="shared" si="32"/>
        <v>6876.6809716599182</v>
      </c>
      <c r="V105" s="32">
        <f t="shared" si="32"/>
        <v>7511.2798516687271</v>
      </c>
      <c r="W105" s="32">
        <f t="shared" si="32"/>
        <v>8211.9429864253398</v>
      </c>
      <c r="X105" s="32">
        <f t="shared" si="32"/>
        <v>8982.5387797311269</v>
      </c>
      <c r="Y105" s="32">
        <f t="shared" si="32"/>
        <v>9829.7999999999993</v>
      </c>
      <c r="Z105" s="32">
        <f t="shared" si="32"/>
        <v>10756.074805194805</v>
      </c>
    </row>
    <row r="106" spans="2:26" x14ac:dyDescent="0.55000000000000004">
      <c r="B106" s="5" t="s">
        <v>280</v>
      </c>
      <c r="C106" s="29">
        <f t="shared" ref="C106:Z106" si="33">C95+C96+C100</f>
        <v>80.5</v>
      </c>
      <c r="D106" s="29">
        <f t="shared" si="33"/>
        <v>87.5</v>
      </c>
      <c r="E106" s="29">
        <f t="shared" si="33"/>
        <v>98</v>
      </c>
      <c r="F106" s="29">
        <f t="shared" si="33"/>
        <v>105</v>
      </c>
      <c r="G106" s="29">
        <f t="shared" si="33"/>
        <v>115.5</v>
      </c>
      <c r="H106" s="29">
        <f t="shared" si="33"/>
        <v>122.5</v>
      </c>
      <c r="I106" s="29">
        <f t="shared" si="33"/>
        <v>140</v>
      </c>
      <c r="J106" s="29">
        <f t="shared" si="33"/>
        <v>147</v>
      </c>
      <c r="K106" s="29">
        <f t="shared" si="33"/>
        <v>164.5</v>
      </c>
      <c r="L106" s="29">
        <f t="shared" si="33"/>
        <v>175</v>
      </c>
      <c r="M106" s="29">
        <f t="shared" si="33"/>
        <v>192.5</v>
      </c>
      <c r="N106" s="29">
        <f t="shared" si="33"/>
        <v>210</v>
      </c>
      <c r="O106" s="29">
        <f t="shared" si="33"/>
        <v>227.5</v>
      </c>
      <c r="P106" s="29">
        <f t="shared" si="33"/>
        <v>252</v>
      </c>
      <c r="Q106" s="29">
        <f t="shared" si="33"/>
        <v>273</v>
      </c>
      <c r="R106" s="29">
        <f t="shared" si="33"/>
        <v>297.5</v>
      </c>
      <c r="S106" s="29">
        <f t="shared" si="33"/>
        <v>325.5</v>
      </c>
      <c r="T106" s="29">
        <f t="shared" si="33"/>
        <v>357</v>
      </c>
      <c r="U106" s="29">
        <f t="shared" si="33"/>
        <v>385</v>
      </c>
      <c r="V106" s="29">
        <f t="shared" si="33"/>
        <v>427</v>
      </c>
      <c r="W106" s="29">
        <f t="shared" si="33"/>
        <v>465.5</v>
      </c>
      <c r="X106" s="29">
        <f t="shared" si="33"/>
        <v>507.5</v>
      </c>
      <c r="Y106" s="29">
        <f t="shared" si="33"/>
        <v>553</v>
      </c>
      <c r="Z106" s="29">
        <f t="shared" si="33"/>
        <v>605.5</v>
      </c>
    </row>
    <row r="107" spans="2:26" x14ac:dyDescent="0.55000000000000004">
      <c r="B107" s="30" t="s">
        <v>281</v>
      </c>
      <c r="C107" s="31">
        <f t="shared" ref="C107:Z107" si="34">C104-C105-C106</f>
        <v>4209.0020645161294</v>
      </c>
      <c r="D107" s="31">
        <f t="shared" si="34"/>
        <v>4672.998402366863</v>
      </c>
      <c r="E107" s="31">
        <f t="shared" si="34"/>
        <v>5181.1417934782603</v>
      </c>
      <c r="F107" s="31">
        <f t="shared" si="34"/>
        <v>5718.6696000000002</v>
      </c>
      <c r="G107" s="31">
        <f t="shared" si="34"/>
        <v>6357.3956422018337</v>
      </c>
      <c r="H107" s="31">
        <f t="shared" si="34"/>
        <v>7056.3157142857135</v>
      </c>
      <c r="I107" s="31">
        <f t="shared" si="34"/>
        <v>7734.0108108108107</v>
      </c>
      <c r="J107" s="31">
        <f t="shared" si="34"/>
        <v>8599.1831802120141</v>
      </c>
      <c r="K107" s="31">
        <f t="shared" si="34"/>
        <v>9471.251132686084</v>
      </c>
      <c r="L107" s="31">
        <f t="shared" si="34"/>
        <v>10554.956213017751</v>
      </c>
      <c r="M107" s="31">
        <f t="shared" si="34"/>
        <v>11580.328695652173</v>
      </c>
      <c r="N107" s="31">
        <f t="shared" si="34"/>
        <v>12758.306783042392</v>
      </c>
      <c r="O107" s="31">
        <f t="shared" si="34"/>
        <v>14068.183981693361</v>
      </c>
      <c r="P107" s="31">
        <f t="shared" si="34"/>
        <v>15411.095042016801</v>
      </c>
      <c r="Q107" s="31">
        <f t="shared" si="34"/>
        <v>17038.727019230773</v>
      </c>
      <c r="R107" s="31">
        <f t="shared" si="34"/>
        <v>18737.22</v>
      </c>
      <c r="S107" s="31">
        <f t="shared" si="34"/>
        <v>20664.464347826084</v>
      </c>
      <c r="T107" s="31">
        <f t="shared" si="34"/>
        <v>22720.993156342178</v>
      </c>
      <c r="U107" s="31">
        <f t="shared" si="34"/>
        <v>25076.231322537118</v>
      </c>
      <c r="V107" s="31">
        <f t="shared" si="34"/>
        <v>27533.062051915935</v>
      </c>
      <c r="W107" s="31">
        <f t="shared" si="34"/>
        <v>30350.575418552035</v>
      </c>
      <c r="X107" s="31">
        <f t="shared" si="34"/>
        <v>33427.489100310231</v>
      </c>
      <c r="Y107" s="31">
        <f t="shared" si="34"/>
        <v>36834.146622516564</v>
      </c>
      <c r="Z107" s="31">
        <f t="shared" si="34"/>
        <v>40487.271480519477</v>
      </c>
    </row>
    <row r="108" spans="2:26" x14ac:dyDescent="0.55000000000000004">
      <c r="B108" s="12" t="s">
        <v>282</v>
      </c>
      <c r="C108" s="13">
        <f t="shared" ref="C108:Z108" si="35">IF(C104&gt;0,C107/C104,0)</f>
        <v>0.73881208628236483</v>
      </c>
      <c r="D108" s="13">
        <f t="shared" si="35"/>
        <v>0.74321711349235065</v>
      </c>
      <c r="E108" s="13">
        <f t="shared" si="35"/>
        <v>0.74590957640754252</v>
      </c>
      <c r="F108" s="13">
        <f t="shared" si="35"/>
        <v>0.74807236945016686</v>
      </c>
      <c r="G108" s="13">
        <f t="shared" si="35"/>
        <v>0.75140488673439976</v>
      </c>
      <c r="H108" s="13">
        <f t="shared" si="35"/>
        <v>0.75411419399577861</v>
      </c>
      <c r="I108" s="13">
        <f t="shared" si="35"/>
        <v>0.75545713649098023</v>
      </c>
      <c r="J108" s="13">
        <f t="shared" si="35"/>
        <v>0.75852524596094473</v>
      </c>
      <c r="K108" s="13">
        <f t="shared" si="35"/>
        <v>0.75930293241668845</v>
      </c>
      <c r="L108" s="13">
        <f t="shared" si="35"/>
        <v>0.76290273893310745</v>
      </c>
      <c r="M108" s="13">
        <f t="shared" si="35"/>
        <v>0.76382516132817724</v>
      </c>
      <c r="N108" s="13">
        <f t="shared" si="35"/>
        <v>0.7654213204660566</v>
      </c>
      <c r="O108" s="13">
        <f t="shared" si="35"/>
        <v>0.76791513342423956</v>
      </c>
      <c r="P108" s="13">
        <f t="shared" si="35"/>
        <v>0.76818209903704093</v>
      </c>
      <c r="Q108" s="13">
        <f t="shared" si="35"/>
        <v>0.77043802071173828</v>
      </c>
      <c r="R108" s="13">
        <f t="shared" si="35"/>
        <v>0.77123569348330401</v>
      </c>
      <c r="S108" s="13">
        <f t="shared" si="35"/>
        <v>0.77260213718385418</v>
      </c>
      <c r="T108" s="13">
        <f t="shared" si="35"/>
        <v>0.77410995894184897</v>
      </c>
      <c r="U108" s="13">
        <f t="shared" si="35"/>
        <v>0.77544372977463327</v>
      </c>
      <c r="V108" s="13">
        <f t="shared" si="35"/>
        <v>0.77620582065246035</v>
      </c>
      <c r="W108" s="13">
        <f t="shared" si="35"/>
        <v>0.7776611946734483</v>
      </c>
      <c r="X108" s="13">
        <f t="shared" si="35"/>
        <v>0.7788773200950273</v>
      </c>
      <c r="Y108" s="13">
        <f t="shared" si="35"/>
        <v>0.78010437474902916</v>
      </c>
      <c r="Z108" s="13">
        <f t="shared" si="35"/>
        <v>0.7808712127828924</v>
      </c>
    </row>
    <row r="109" spans="2:26" x14ac:dyDescent="0.55000000000000004">
      <c r="B109" s="30" t="s">
        <v>283</v>
      </c>
      <c r="C109" s="31">
        <f t="shared" ref="C109:Z109" si="36">C107-C70</f>
        <v>2616.0465171339156</v>
      </c>
      <c r="D109" s="31">
        <f t="shared" si="36"/>
        <v>2981.5730187681738</v>
      </c>
      <c r="E109" s="31">
        <f t="shared" si="36"/>
        <v>3384.6343487153404</v>
      </c>
      <c r="F109" s="31">
        <f t="shared" si="36"/>
        <v>3810.4107722303006</v>
      </c>
      <c r="G109" s="31">
        <f t="shared" si="36"/>
        <v>4324.8912538225813</v>
      </c>
      <c r="H109" s="31">
        <f t="shared" si="36"/>
        <v>4889.2312944777877</v>
      </c>
      <c r="I109" s="31">
        <f t="shared" si="36"/>
        <v>5426.1051713973029</v>
      </c>
      <c r="J109" s="31">
        <f t="shared" si="36"/>
        <v>6132.7189816120153</v>
      </c>
      <c r="K109" s="31">
        <f t="shared" si="36"/>
        <v>6835.8893376504275</v>
      </c>
      <c r="L109" s="31">
        <f t="shared" si="36"/>
        <v>7731.8110185843743</v>
      </c>
      <c r="M109" s="31">
        <f t="shared" si="36"/>
        <v>8563.7319337744157</v>
      </c>
      <c r="N109" s="31">
        <f t="shared" si="36"/>
        <v>9530.3693064798063</v>
      </c>
      <c r="O109" s="31">
        <f t="shared" si="36"/>
        <v>10612.174746176903</v>
      </c>
      <c r="P109" s="31">
        <f t="shared" si="36"/>
        <v>11709.569830054103</v>
      </c>
      <c r="Q109" s="31">
        <f t="shared" si="36"/>
        <v>13064.324256724911</v>
      </c>
      <c r="R109" s="31">
        <f t="shared" si="36"/>
        <v>14467.973680746727</v>
      </c>
      <c r="S109" s="31">
        <f t="shared" si="36"/>
        <v>16072.861142699663</v>
      </c>
      <c r="T109" s="31">
        <f t="shared" si="36"/>
        <v>17783.190531550827</v>
      </c>
      <c r="U109" s="31">
        <f t="shared" si="36"/>
        <v>19759.323311079555</v>
      </c>
      <c r="V109" s="31">
        <f t="shared" si="36"/>
        <v>21809.538145619565</v>
      </c>
      <c r="W109" s="31">
        <f t="shared" si="36"/>
        <v>24180.86088987055</v>
      </c>
      <c r="X109" s="31">
        <f t="shared" si="36"/>
        <v>26769.50232799217</v>
      </c>
      <c r="Y109" s="31">
        <f t="shared" si="36"/>
        <v>29647.28711823242</v>
      </c>
      <c r="Z109" s="31">
        <f t="shared" si="36"/>
        <v>32728.446012049098</v>
      </c>
    </row>
    <row r="110" spans="2:26" x14ac:dyDescent="0.55000000000000004">
      <c r="B110" s="12" t="s">
        <v>284</v>
      </c>
      <c r="C110" s="13">
        <f t="shared" ref="C110:Z110" si="37">IF(C104&gt;0,C109/C104,0)</f>
        <v>0.4591983457146665</v>
      </c>
      <c r="D110" s="13">
        <f t="shared" si="37"/>
        <v>0.474204333464608</v>
      </c>
      <c r="E110" s="13">
        <f t="shared" si="37"/>
        <v>0.48727312896986275</v>
      </c>
      <c r="F110" s="13">
        <f t="shared" si="37"/>
        <v>0.49844862779985766</v>
      </c>
      <c r="G110" s="13">
        <f t="shared" si="37"/>
        <v>0.5111754255381894</v>
      </c>
      <c r="H110" s="13">
        <f t="shared" si="37"/>
        <v>0.5225161211862358</v>
      </c>
      <c r="I110" s="13">
        <f t="shared" si="37"/>
        <v>0.53002122383288452</v>
      </c>
      <c r="J110" s="13">
        <f t="shared" si="37"/>
        <v>0.54096093506196452</v>
      </c>
      <c r="K110" s="13">
        <f t="shared" si="37"/>
        <v>0.54802800042341338</v>
      </c>
      <c r="L110" s="13">
        <f t="shared" si="37"/>
        <v>0.55884834422299634</v>
      </c>
      <c r="M110" s="13">
        <f t="shared" si="37"/>
        <v>0.56485390853736239</v>
      </c>
      <c r="N110" s="13">
        <f t="shared" si="37"/>
        <v>0.57176457527974711</v>
      </c>
      <c r="O110" s="13">
        <f t="shared" si="37"/>
        <v>0.57926805597198849</v>
      </c>
      <c r="P110" s="13">
        <f t="shared" si="37"/>
        <v>0.58367571586234346</v>
      </c>
      <c r="Q110" s="13">
        <f t="shared" si="37"/>
        <v>0.59072794058660238</v>
      </c>
      <c r="R110" s="13">
        <f t="shared" si="37"/>
        <v>0.59551084499028628</v>
      </c>
      <c r="S110" s="13">
        <f t="shared" si="37"/>
        <v>0.6009314667193616</v>
      </c>
      <c r="T110" s="13">
        <f t="shared" si="37"/>
        <v>0.60587777996805137</v>
      </c>
      <c r="U110" s="13">
        <f t="shared" si="37"/>
        <v>0.61102656013527878</v>
      </c>
      <c r="V110" s="13">
        <f t="shared" si="37"/>
        <v>0.61484953698398248</v>
      </c>
      <c r="W110" s="13">
        <f t="shared" si="37"/>
        <v>0.61957695722483008</v>
      </c>
      <c r="X110" s="13">
        <f t="shared" si="37"/>
        <v>0.62374287733476907</v>
      </c>
      <c r="Y110" s="13">
        <f t="shared" si="37"/>
        <v>0.62789505122498501</v>
      </c>
      <c r="Z110" s="13">
        <f t="shared" si="37"/>
        <v>0.63122804761552898</v>
      </c>
    </row>
    <row r="111" spans="2:26" ht="15.6" x14ac:dyDescent="0.6">
      <c r="B111" s="33" t="s">
        <v>285</v>
      </c>
      <c r="C111" s="34">
        <f>C109-IF(C109&gt;0,C109*Assumptions!C92,0)</f>
        <v>2066.6767485357932</v>
      </c>
      <c r="D111" s="34">
        <f>D109-IF(D109&gt;0,D109*Assumptions!C92,0)</f>
        <v>2355.4426848268572</v>
      </c>
      <c r="E111" s="34">
        <f>E109-IF(E109&gt;0,E109*Assumptions!C92,0)</f>
        <v>2673.8611354851191</v>
      </c>
      <c r="F111" s="34">
        <f>F109-IF(F109&gt;0,F109*Assumptions!C92,0)</f>
        <v>3010.2245100619375</v>
      </c>
      <c r="G111" s="34">
        <f>G109-IF(G109&gt;0,G109*Assumptions!C92,0)</f>
        <v>3416.6640905198392</v>
      </c>
      <c r="H111" s="34">
        <f>H109-IF(H109&gt;0,H109*Assumptions!C92,0)</f>
        <v>3862.4927226374521</v>
      </c>
      <c r="I111" s="34">
        <f>I109-IF(I109&gt;0,I109*Assumptions!C92,0)</f>
        <v>4286.6230854038695</v>
      </c>
      <c r="J111" s="34">
        <f>J109-IF(J109&gt;0,J109*Assumptions!C92,0)</f>
        <v>4844.8479954734921</v>
      </c>
      <c r="K111" s="34">
        <f>K109-IF(K109&gt;0,K109*Assumptions!C92,0)</f>
        <v>5400.3525767438377</v>
      </c>
      <c r="L111" s="34">
        <f>L109-IF(L109&gt;0,L109*Assumptions!C92,0)</f>
        <v>6108.1307046816555</v>
      </c>
      <c r="M111" s="34">
        <f>M109-IF(M109&gt;0,M109*Assumptions!C92,0)</f>
        <v>6765.3482276817886</v>
      </c>
      <c r="N111" s="34">
        <f>N109-IF(N109&gt;0,N109*Assumptions!C92,0)</f>
        <v>7528.9917521190473</v>
      </c>
      <c r="O111" s="34">
        <f>O109-IF(O109&gt;0,O109*Assumptions!C92,0)</f>
        <v>8383.6180494797536</v>
      </c>
      <c r="P111" s="34">
        <f>P109-IF(P109&gt;0,P109*Assumptions!C92,0)</f>
        <v>9250.5601657427414</v>
      </c>
      <c r="Q111" s="34">
        <f>Q109-IF(Q109&gt;0,Q109*Assumptions!C92,0)</f>
        <v>10320.81616281268</v>
      </c>
      <c r="R111" s="34">
        <f>R109-IF(R109&gt;0,R109*Assumptions!C92,0)</f>
        <v>11429.699207789914</v>
      </c>
      <c r="S111" s="34">
        <f>S109-IF(S109&gt;0,S109*Assumptions!C92,0)</f>
        <v>12697.560302732734</v>
      </c>
      <c r="T111" s="34">
        <f>T109-IF(T109&gt;0,T109*Assumptions!C92,0)</f>
        <v>14048.720519925153</v>
      </c>
      <c r="U111" s="34">
        <f>U109-IF(U109&gt;0,U109*Assumptions!C92,0)</f>
        <v>15609.865415752849</v>
      </c>
      <c r="V111" s="34">
        <f>V109-IF(V109&gt;0,V109*Assumptions!C92,0)</f>
        <v>17229.535135039456</v>
      </c>
      <c r="W111" s="34">
        <f>W109-IF(W109&gt;0,W109*Assumptions!C92,0)</f>
        <v>19102.880102997733</v>
      </c>
      <c r="X111" s="34">
        <f>X109-IF(X109&gt;0,X109*Assumptions!C92,0)</f>
        <v>21147.906839113813</v>
      </c>
      <c r="Y111" s="34">
        <f>Y109-IF(Y109&gt;0,Y109*Assumptions!C92,0)</f>
        <v>23421.356823403614</v>
      </c>
      <c r="Z111" s="34">
        <f>Z109-IF(Z109&gt;0,Z109*Assumptions!C92,0)</f>
        <v>25855.472349518786</v>
      </c>
    </row>
    <row r="112" spans="2:26" x14ac:dyDescent="0.55000000000000004">
      <c r="B112" s="12" t="s">
        <v>286</v>
      </c>
      <c r="C112" s="25">
        <f>C11-C90</f>
        <v>128</v>
      </c>
      <c r="D112" s="25">
        <f>C112+(D9*Assumptions!C34)-D90</f>
        <v>267.64999999999998</v>
      </c>
      <c r="E112" s="25">
        <f>D112+(E9*Assumptions!C34)-E90</f>
        <v>420.04999999999995</v>
      </c>
      <c r="F112" s="25">
        <f>E112+(F9*Assumptions!C34)-F90</f>
        <v>585.04999999999995</v>
      </c>
      <c r="G112" s="25">
        <f>F112+(G9*Assumptions!C34)-G90</f>
        <v>765.34999999999991</v>
      </c>
      <c r="H112" s="25">
        <f>G112+(H9*Assumptions!C34)-H90</f>
        <v>961.64999999999986</v>
      </c>
      <c r="I112" s="25">
        <f>H112+(I9*Assumptions!C34)-I90</f>
        <v>1175.8</v>
      </c>
      <c r="J112" s="25">
        <f>I112+(J9*Assumptions!C34)-J90</f>
        <v>1409.35</v>
      </c>
      <c r="K112" s="25">
        <f>J112+(K9*Assumptions!C34)-K90</f>
        <v>1664</v>
      </c>
      <c r="L112" s="25">
        <f>K112+(L9*Assumptions!C34)-L90</f>
        <v>1943.3</v>
      </c>
      <c r="M112" s="25">
        <f>L112+(M9*Assumptions!C34)-M90</f>
        <v>2247.1</v>
      </c>
      <c r="N112" s="25">
        <f>M112+(N9*Assumptions!C34)-N90</f>
        <v>2577.9499999999998</v>
      </c>
      <c r="O112" s="25">
        <f>N112+(O9*Assumptions!C34)-O90</f>
        <v>2939.3999999999996</v>
      </c>
      <c r="P112" s="25">
        <f>O112+(P9*Assumptions!C34)-P90</f>
        <v>3331.9999999999995</v>
      </c>
      <c r="Q112" s="25">
        <f>P112+(Q9*Assumptions!C34)-Q90</f>
        <v>3761.9999999999995</v>
      </c>
      <c r="R112" s="25">
        <f>Q112+(R9*Assumptions!C34)-R90</f>
        <v>4230.7999999999993</v>
      </c>
      <c r="S112" s="25">
        <f>R112+(S9*Assumptions!C34)-S90</f>
        <v>4743.6499999999996</v>
      </c>
      <c r="T112" s="25">
        <f>S112+(T9*Assumptions!C34)-T90</f>
        <v>5303.95</v>
      </c>
      <c r="U112" s="25">
        <f>T112+(U9*Assumptions!C34)-U90</f>
        <v>5915.8</v>
      </c>
      <c r="V112" s="25">
        <f>U112+(V9*Assumptions!C34)-V90</f>
        <v>6583.45</v>
      </c>
      <c r="W112" s="25">
        <f>V112+(W9*Assumptions!C34)-W90</f>
        <v>7313.8499999999995</v>
      </c>
      <c r="X112" s="25">
        <f>W112+(X9*Assumptions!C34)-X90</f>
        <v>8112.7999999999993</v>
      </c>
      <c r="Y112" s="25">
        <f>X112+(Y9*Assumptions!C34)-Y90</f>
        <v>8986.25</v>
      </c>
      <c r="Z112" s="25">
        <f>Y112+(Z9*Assumptions!C34)-Z90</f>
        <v>9940</v>
      </c>
    </row>
    <row r="113" spans="2:26" x14ac:dyDescent="0.55000000000000004">
      <c r="B113" s="5" t="s">
        <v>287</v>
      </c>
      <c r="C113" s="38">
        <f t="shared" ref="C113:Z113" si="38">IF(C52&gt;0,C101/C52,0)</f>
        <v>7.8646588221539901E-2</v>
      </c>
      <c r="D113" s="38">
        <f t="shared" si="38"/>
        <v>7.7805466376945603E-2</v>
      </c>
      <c r="E113" s="38">
        <f t="shared" si="38"/>
        <v>7.8317454281861848E-2</v>
      </c>
      <c r="F113" s="38">
        <f t="shared" si="38"/>
        <v>7.8797563845759422E-2</v>
      </c>
      <c r="G113" s="38">
        <f t="shared" si="38"/>
        <v>7.8003554190484062E-2</v>
      </c>
      <c r="H113" s="38">
        <f t="shared" si="38"/>
        <v>7.7057052992260608E-2</v>
      </c>
      <c r="I113" s="38">
        <f t="shared" si="38"/>
        <v>7.9510721543054108E-2</v>
      </c>
      <c r="J113" s="38">
        <f t="shared" si="38"/>
        <v>7.7442851629516196E-2</v>
      </c>
      <c r="K113" s="38">
        <f t="shared" si="38"/>
        <v>7.9385356641141533E-2</v>
      </c>
      <c r="L113" s="38">
        <f t="shared" si="38"/>
        <v>7.6192676634586523E-2</v>
      </c>
      <c r="M113" s="38">
        <f t="shared" si="38"/>
        <v>7.7062597634215912E-2</v>
      </c>
      <c r="N113" s="38">
        <f t="shared" si="38"/>
        <v>7.7168352389616265E-2</v>
      </c>
      <c r="O113" s="38">
        <f t="shared" si="38"/>
        <v>7.5888064434163974E-2</v>
      </c>
      <c r="P113" s="38">
        <f t="shared" si="38"/>
        <v>7.7947854452547316E-2</v>
      </c>
      <c r="Q113" s="38">
        <f t="shared" si="38"/>
        <v>7.6131032682654559E-2</v>
      </c>
      <c r="R113" s="38">
        <f t="shared" si="38"/>
        <v>7.6608799494155624E-2</v>
      </c>
      <c r="S113" s="38">
        <f t="shared" si="38"/>
        <v>7.6233781493073527E-2</v>
      </c>
      <c r="T113" s="38">
        <f t="shared" si="38"/>
        <v>7.6528982571789278E-2</v>
      </c>
      <c r="U113" s="38">
        <f t="shared" si="38"/>
        <v>7.5629707660471793E-2</v>
      </c>
      <c r="V113" s="38">
        <f t="shared" si="38"/>
        <v>7.6863820125531432E-2</v>
      </c>
      <c r="W113" s="38">
        <f t="shared" si="38"/>
        <v>7.6055149747633666E-2</v>
      </c>
      <c r="X113" s="38">
        <f t="shared" si="38"/>
        <v>7.585980925351142E-2</v>
      </c>
      <c r="Y113" s="38">
        <f t="shared" si="38"/>
        <v>7.5422342343968357E-2</v>
      </c>
      <c r="Z113" s="38">
        <f t="shared" si="38"/>
        <v>7.5691025034324677E-2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961"/>
  </sheetPr>
  <dimension ref="B1:E48"/>
  <sheetViews>
    <sheetView workbookViewId="0">
      <selection activeCell="G12" sqref="G12"/>
    </sheetView>
  </sheetViews>
  <sheetFormatPr defaultRowHeight="14.4" x14ac:dyDescent="0.55000000000000004"/>
  <cols>
    <col min="1" max="1" width="3" customWidth="1"/>
    <col min="2" max="2" width="48" customWidth="1"/>
    <col min="3" max="5" width="18" customWidth="1"/>
  </cols>
  <sheetData>
    <row r="1" spans="2:5" ht="20.399999999999999" x14ac:dyDescent="0.75">
      <c r="B1" s="1" t="s">
        <v>288</v>
      </c>
    </row>
    <row r="3" spans="2:5" ht="15.6" x14ac:dyDescent="0.6">
      <c r="B3" s="4"/>
      <c r="C3" s="4" t="s">
        <v>289</v>
      </c>
      <c r="D3" s="4" t="s">
        <v>290</v>
      </c>
      <c r="E3" s="4" t="s">
        <v>291</v>
      </c>
    </row>
    <row r="5" spans="2:5" x14ac:dyDescent="0.55000000000000004">
      <c r="B5" s="12" t="s">
        <v>292</v>
      </c>
      <c r="C5" s="25">
        <f>SUM('24-Month Projections'!C9:N9)</f>
        <v>3122</v>
      </c>
      <c r="D5" s="25">
        <f>SUM('24-Month Projections'!O9:Z9)</f>
        <v>8913</v>
      </c>
      <c r="E5" s="25">
        <f>C5+D5</f>
        <v>12035</v>
      </c>
    </row>
    <row r="6" spans="2:5" x14ac:dyDescent="0.55000000000000004">
      <c r="B6" s="12" t="s">
        <v>293</v>
      </c>
      <c r="C6" s="25">
        <f>'24-Month Projections'!N10</f>
        <v>3122</v>
      </c>
      <c r="D6" s="25">
        <f>'24-Month Projections'!Z10</f>
        <v>12035</v>
      </c>
      <c r="E6" s="25">
        <f>D6</f>
        <v>12035</v>
      </c>
    </row>
    <row r="7" spans="2:5" x14ac:dyDescent="0.55000000000000004">
      <c r="B7" s="5" t="s">
        <v>294</v>
      </c>
      <c r="C7" s="19">
        <f>'24-Month Projections'!N11</f>
        <v>2654</v>
      </c>
      <c r="D7" s="19">
        <f>'24-Month Projections'!Z11</f>
        <v>10230</v>
      </c>
      <c r="E7" s="19">
        <f>D7</f>
        <v>10230</v>
      </c>
    </row>
    <row r="8" spans="2:5" x14ac:dyDescent="0.55000000000000004">
      <c r="B8" s="5" t="s">
        <v>295</v>
      </c>
      <c r="C8" s="24">
        <f>'24-Month Projections'!N15</f>
        <v>93.539999999999992</v>
      </c>
      <c r="D8" s="24">
        <f>'24-Month Projections'!Z15</f>
        <v>360.62000000000006</v>
      </c>
      <c r="E8" s="24">
        <f>D8</f>
        <v>360.62000000000006</v>
      </c>
    </row>
    <row r="10" spans="2:5" x14ac:dyDescent="0.55000000000000004">
      <c r="B10" s="12" t="s">
        <v>296</v>
      </c>
      <c r="C10" s="35">
        <f>SUM('24-Month Projections'!C52:N52)</f>
        <v>132013.99</v>
      </c>
      <c r="D10" s="35">
        <f>SUM('24-Month Projections'!O52:Z52)</f>
        <v>414546.66</v>
      </c>
      <c r="E10" s="35">
        <f>C10+D10</f>
        <v>546560.64999999991</v>
      </c>
    </row>
    <row r="11" spans="2:5" x14ac:dyDescent="0.55000000000000004">
      <c r="B11" s="5" t="s">
        <v>297</v>
      </c>
      <c r="C11" s="29">
        <f>SUM('24-Month Projections'!C46:N46)+SUM('24-Month Projections'!C47:N47)+SUM('24-Month Projections'!C48:N48)</f>
        <v>121163.78</v>
      </c>
      <c r="D11" s="29">
        <f>SUM('24-Month Projections'!O46:Z46)+SUM('24-Month Projections'!O47:Z47)+SUM('24-Month Projections'!O48:Z48)</f>
        <v>364830.87</v>
      </c>
      <c r="E11" s="29">
        <f>C11+D11</f>
        <v>485994.65</v>
      </c>
    </row>
    <row r="12" spans="2:5" x14ac:dyDescent="0.55000000000000004">
      <c r="B12" s="5" t="s">
        <v>298</v>
      </c>
      <c r="C12" s="29">
        <f>SUM('24-Month Projections'!C49:N49)+SUM('24-Month Projections'!C50:N50)+SUM('24-Month Projections'!C51:N51)</f>
        <v>10850.21</v>
      </c>
      <c r="D12" s="29">
        <f>SUM('24-Month Projections'!O49:Z49)+SUM('24-Month Projections'!O50:Z50)+SUM('24-Month Projections'!O51:Z51)</f>
        <v>49715.789999999994</v>
      </c>
      <c r="E12" s="29">
        <f>C12+D12</f>
        <v>60565.999999999993</v>
      </c>
    </row>
    <row r="14" spans="2:5" x14ac:dyDescent="0.55000000000000004">
      <c r="B14" s="27" t="s">
        <v>299</v>
      </c>
      <c r="C14" s="32">
        <f>SUM('24-Month Projections'!C59:N59)</f>
        <v>27849.5</v>
      </c>
      <c r="D14" s="32">
        <f>SUM('24-Month Projections'!O59:Z59)</f>
        <v>80640.5</v>
      </c>
      <c r="E14" s="32">
        <f>C14+D14</f>
        <v>108490</v>
      </c>
    </row>
    <row r="15" spans="2:5" x14ac:dyDescent="0.55000000000000004">
      <c r="B15" s="30" t="s">
        <v>300</v>
      </c>
      <c r="C15" s="31">
        <f>SUM('24-Month Projections'!C60:N60)</f>
        <v>104164.48999999999</v>
      </c>
      <c r="D15" s="31">
        <f>SUM('24-Month Projections'!O60:Z60)</f>
        <v>333906.15999999997</v>
      </c>
      <c r="E15" s="31">
        <f>C15+D15</f>
        <v>438070.64999999997</v>
      </c>
    </row>
    <row r="16" spans="2:5" x14ac:dyDescent="0.55000000000000004">
      <c r="B16" s="12" t="s">
        <v>245</v>
      </c>
      <c r="C16" s="13">
        <f>IF(C10&gt;0,C15/C10,0)</f>
        <v>0.78904129782002652</v>
      </c>
      <c r="D16" s="13">
        <f>IF(D10&gt;0,D15/D10,0)</f>
        <v>0.80547304373408768</v>
      </c>
      <c r="E16" s="13">
        <f>IF(E10&gt;0,E15/E10,0)</f>
        <v>0.80150418805305512</v>
      </c>
    </row>
    <row r="18" spans="2:5" x14ac:dyDescent="0.55000000000000004">
      <c r="B18" s="27" t="s">
        <v>301</v>
      </c>
      <c r="C18" s="32">
        <f>SUM('24-Month Projections'!C70:N70)</f>
        <v>27666.147077623584</v>
      </c>
      <c r="D18" s="32">
        <f>SUM('24-Month Projections'!O70:Z70)</f>
        <v>63744.407550664073</v>
      </c>
      <c r="E18" s="32">
        <f t="shared" ref="E18:E28" si="0">C18+D18</f>
        <v>91410.55462828766</v>
      </c>
    </row>
    <row r="19" spans="2:5" x14ac:dyDescent="0.55000000000000004">
      <c r="B19" s="5" t="s">
        <v>302</v>
      </c>
      <c r="C19" s="29">
        <f>SUM('24-Month Projections'!C43:N43)</f>
        <v>311.74136762358222</v>
      </c>
      <c r="D19" s="29">
        <f>SUM('24-Month Projections'!O43:Z43)</f>
        <v>365.05441066407184</v>
      </c>
      <c r="E19" s="29">
        <f t="shared" si="0"/>
        <v>676.795778287654</v>
      </c>
    </row>
    <row r="20" spans="2:5" x14ac:dyDescent="0.55000000000000004">
      <c r="B20" s="5" t="s">
        <v>303</v>
      </c>
      <c r="C20" s="29">
        <f>SUM('24-Month Projections'!C35:N35)</f>
        <v>5.7491534062499996</v>
      </c>
      <c r="D20" s="29">
        <f>SUM('24-Month Projections'!O35:Z35)</f>
        <v>28.077408453124999</v>
      </c>
      <c r="E20" s="29">
        <f t="shared" si="0"/>
        <v>33.826561859374998</v>
      </c>
    </row>
    <row r="21" spans="2:5" x14ac:dyDescent="0.55000000000000004">
      <c r="B21" s="5" t="s">
        <v>304</v>
      </c>
      <c r="C21" s="29">
        <f>SUM('24-Month Projections'!C39:N39)</f>
        <v>5.979449999999999</v>
      </c>
      <c r="D21" s="29">
        <f>SUM('24-Month Projections'!O39:Z39)</f>
        <v>36.928350000000002</v>
      </c>
      <c r="E21" s="29">
        <f t="shared" si="0"/>
        <v>42.907800000000002</v>
      </c>
    </row>
    <row r="22" spans="2:5" x14ac:dyDescent="0.55000000000000004">
      <c r="B22" s="5" t="s">
        <v>305</v>
      </c>
      <c r="C22" s="29">
        <f>SUM('24-Month Projections'!C40:N40)</f>
        <v>1.2764217332153324E-2</v>
      </c>
      <c r="D22" s="29">
        <f>SUM('24-Month Projections'!O40:Z40)</f>
        <v>4.8652210946777345E-2</v>
      </c>
      <c r="E22" s="29">
        <f t="shared" si="0"/>
        <v>6.1416428278930665E-2</v>
      </c>
    </row>
    <row r="23" spans="2:5" x14ac:dyDescent="0.55000000000000004">
      <c r="B23" s="5" t="s">
        <v>306</v>
      </c>
      <c r="C23" s="29">
        <f>SUM('24-Month Projections'!C41:N41)</f>
        <v>0</v>
      </c>
      <c r="D23" s="29">
        <f>SUM('24-Month Projections'!O41:Z41)</f>
        <v>0</v>
      </c>
      <c r="E23" s="29">
        <f t="shared" si="0"/>
        <v>0</v>
      </c>
    </row>
    <row r="24" spans="2:5" x14ac:dyDescent="0.55000000000000004">
      <c r="B24" s="5" t="s">
        <v>307</v>
      </c>
      <c r="C24" s="29">
        <f>SUM('24-Month Projections'!C42:N42)</f>
        <v>300</v>
      </c>
      <c r="D24" s="29">
        <f>SUM('24-Month Projections'!O42:Z42)</f>
        <v>300</v>
      </c>
      <c r="E24" s="29">
        <f t="shared" si="0"/>
        <v>600</v>
      </c>
    </row>
    <row r="25" spans="2:5" x14ac:dyDescent="0.55000000000000004">
      <c r="B25" s="5" t="s">
        <v>308</v>
      </c>
      <c r="C25" s="29">
        <f>SUM('24-Month Projections'!C65:N65)</f>
        <v>7961</v>
      </c>
      <c r="D25" s="29">
        <f>SUM('24-Month Projections'!O65:Z65)</f>
        <v>14309</v>
      </c>
      <c r="E25" s="29">
        <f t="shared" si="0"/>
        <v>22270</v>
      </c>
    </row>
    <row r="26" spans="2:5" x14ac:dyDescent="0.55000000000000004">
      <c r="B26" s="5" t="s">
        <v>309</v>
      </c>
      <c r="C26" s="29">
        <f>SUM('24-Month Projections'!C66:N66)</f>
        <v>10927</v>
      </c>
      <c r="D26" s="29">
        <f>SUM('24-Month Projections'!O66:Z66)</f>
        <v>31195.5</v>
      </c>
      <c r="E26" s="29">
        <f t="shared" si="0"/>
        <v>42122.5</v>
      </c>
    </row>
    <row r="27" spans="2:5" x14ac:dyDescent="0.55000000000000004">
      <c r="B27" s="5" t="s">
        <v>310</v>
      </c>
      <c r="C27" s="29">
        <f>SUM('24-Month Projections'!C67:N67)</f>
        <v>3828.40571</v>
      </c>
      <c r="D27" s="29">
        <f>SUM('24-Month Projections'!O67:Z67)</f>
        <v>12021.853140000001</v>
      </c>
      <c r="E27" s="29">
        <f t="shared" si="0"/>
        <v>15850.258850000002</v>
      </c>
    </row>
    <row r="28" spans="2:5" x14ac:dyDescent="0.55000000000000004">
      <c r="B28" s="5" t="s">
        <v>311</v>
      </c>
      <c r="C28" s="29">
        <f>SUM('24-Month Projections'!C68:N68)+SUM('24-Month Projections'!C69:N69)</f>
        <v>4638</v>
      </c>
      <c r="D28" s="29">
        <f>SUM('24-Month Projections'!O68:Z68)+SUM('24-Month Projections'!O69:Z69)</f>
        <v>5853</v>
      </c>
      <c r="E28" s="29">
        <f t="shared" si="0"/>
        <v>10491</v>
      </c>
    </row>
    <row r="30" spans="2:5" x14ac:dyDescent="0.55000000000000004">
      <c r="B30" s="30" t="s">
        <v>312</v>
      </c>
      <c r="C30" s="31">
        <f>SUM('24-Month Projections'!C73:N73)</f>
        <v>76498.342922376396</v>
      </c>
      <c r="D30" s="31">
        <f>SUM('24-Month Projections'!O73:Z73)</f>
        <v>270161.75244933588</v>
      </c>
      <c r="E30" s="31">
        <f>C30+D30</f>
        <v>346660.09537171229</v>
      </c>
    </row>
    <row r="31" spans="2:5" x14ac:dyDescent="0.55000000000000004">
      <c r="B31" s="12" t="s">
        <v>253</v>
      </c>
      <c r="C31" s="13">
        <f>IF(C10&gt;0,C30/C10,0)</f>
        <v>0.5794714857294776</v>
      </c>
      <c r="D31" s="13">
        <f>IF(D10&gt;0,D30/D10,0)</f>
        <v>0.65170408669879498</v>
      </c>
      <c r="E31" s="13">
        <f>IF(E10&gt;0,E30/E10,0)</f>
        <v>0.63425732418115421</v>
      </c>
    </row>
    <row r="32" spans="2:5" x14ac:dyDescent="0.55000000000000004">
      <c r="B32" s="5" t="s">
        <v>313</v>
      </c>
      <c r="C32" s="29">
        <f>SUM('24-Month Projections'!C75:N75)</f>
        <v>16064.652013699046</v>
      </c>
      <c r="D32" s="29">
        <f>SUM('24-Month Projections'!O75:Z75)</f>
        <v>56733.968014360544</v>
      </c>
      <c r="E32" s="29">
        <f>C32+D32</f>
        <v>72798.620028059595</v>
      </c>
    </row>
    <row r="33" spans="2:5" ht="15.6" x14ac:dyDescent="0.6">
      <c r="B33" s="33" t="s">
        <v>255</v>
      </c>
      <c r="C33" s="34">
        <f>SUM('24-Month Projections'!C76:N76)</f>
        <v>60433.690908677367</v>
      </c>
      <c r="D33" s="34">
        <f>SUM('24-Month Projections'!O76:Z76)</f>
        <v>213427.78443497539</v>
      </c>
      <c r="E33" s="34">
        <f>C33+D33</f>
        <v>273861.47534365277</v>
      </c>
    </row>
    <row r="35" spans="2:5" x14ac:dyDescent="0.55000000000000004">
      <c r="B35" s="12" t="s">
        <v>145</v>
      </c>
    </row>
    <row r="36" spans="2:5" x14ac:dyDescent="0.55000000000000004">
      <c r="B36" s="5" t="s">
        <v>314</v>
      </c>
      <c r="C36" s="19">
        <f>SUM('24-Month Projections'!C88:N88)</f>
        <v>187</v>
      </c>
      <c r="D36" s="19">
        <f>SUM('24-Month Projections'!O88:Z88)</f>
        <v>534</v>
      </c>
      <c r="E36" s="19">
        <f>C36+D36</f>
        <v>721</v>
      </c>
    </row>
    <row r="37" spans="2:5" x14ac:dyDescent="0.55000000000000004">
      <c r="B37" s="5" t="s">
        <v>315</v>
      </c>
      <c r="C37" s="19">
        <f>SUM('24-Month Projections'!C91:N91)</f>
        <v>94</v>
      </c>
      <c r="D37" s="19">
        <f>SUM('24-Month Projections'!O91:Z91)</f>
        <v>268</v>
      </c>
      <c r="E37" s="19">
        <f>C37+D37</f>
        <v>362</v>
      </c>
    </row>
    <row r="38" spans="2:5" x14ac:dyDescent="0.55000000000000004">
      <c r="B38" s="27" t="s">
        <v>316</v>
      </c>
      <c r="C38" s="32">
        <f>SUM('24-Month Projections'!C101:N101)</f>
        <v>10270.929967729968</v>
      </c>
      <c r="D38" s="32">
        <f>SUM('24-Month Projections'!O101:Z101)</f>
        <v>31556.70045653942</v>
      </c>
      <c r="E38" s="32">
        <f>C38+D38</f>
        <v>41827.630424269388</v>
      </c>
    </row>
    <row r="39" spans="2:5" x14ac:dyDescent="0.55000000000000004">
      <c r="B39" s="5" t="s">
        <v>317</v>
      </c>
      <c r="C39" s="38">
        <f>IF(C10&gt;0,C38/C10,0)</f>
        <v>7.7801829697973432E-2</v>
      </c>
      <c r="D39" s="38">
        <f>IF(D10&gt;0,D38/D10,0)</f>
        <v>7.6123398163524994E-2</v>
      </c>
      <c r="E39" s="38">
        <f>IF(E10&gt;0,E38/E10,0)</f>
        <v>7.652879954725865E-2</v>
      </c>
    </row>
    <row r="41" spans="2:5" x14ac:dyDescent="0.55000000000000004">
      <c r="B41" s="12" t="s">
        <v>318</v>
      </c>
    </row>
    <row r="42" spans="2:5" x14ac:dyDescent="0.55000000000000004">
      <c r="B42" s="12" t="s">
        <v>319</v>
      </c>
      <c r="C42" s="35">
        <f>SUM('24-Month Projections'!C104:N104)</f>
        <v>124105.31945482218</v>
      </c>
      <c r="D42" s="35">
        <f>SUM('24-Month Projections'!O104:Z104)</f>
        <v>389710.73630412581</v>
      </c>
      <c r="E42" s="35">
        <f>C42+D42</f>
        <v>513816.05575894797</v>
      </c>
    </row>
    <row r="43" spans="2:5" x14ac:dyDescent="0.55000000000000004">
      <c r="B43" s="39" t="s">
        <v>320</v>
      </c>
      <c r="C43" s="40">
        <f>SUM('24-Month Projections'!C105:N105)</f>
        <v>28573.759422552135</v>
      </c>
      <c r="D43" s="40">
        <f>SUM('24-Month Projections'!O105:Z105)</f>
        <v>82685.27676066522</v>
      </c>
      <c r="E43" s="40">
        <f>C43+D43</f>
        <v>111259.03618321735</v>
      </c>
    </row>
    <row r="44" spans="2:5" x14ac:dyDescent="0.55000000000000004">
      <c r="B44" s="30" t="s">
        <v>321</v>
      </c>
      <c r="C44" s="31">
        <f>SUM('24-Month Projections'!C107:N107)</f>
        <v>93893.560032270034</v>
      </c>
      <c r="D44" s="31">
        <f>SUM('24-Month Projections'!O107:Z107)</f>
        <v>302349.45954346057</v>
      </c>
      <c r="E44" s="31">
        <f>C44+D44</f>
        <v>396243.01957573061</v>
      </c>
    </row>
    <row r="45" spans="2:5" x14ac:dyDescent="0.55000000000000004">
      <c r="B45" s="12" t="s">
        <v>322</v>
      </c>
      <c r="C45" s="13">
        <f>IF(C42&gt;0,C44/C42,0)</f>
        <v>0.75656354171385798</v>
      </c>
      <c r="D45" s="13">
        <f>IF(D42&gt;0,D44/D42,0)</f>
        <v>0.77583045930638794</v>
      </c>
      <c r="E45" s="13">
        <f>IF(E42&gt;0,E44/E42,0)</f>
        <v>0.77117679592640898</v>
      </c>
    </row>
    <row r="46" spans="2:5" x14ac:dyDescent="0.55000000000000004">
      <c r="B46" s="30" t="s">
        <v>323</v>
      </c>
      <c r="C46" s="31">
        <f>SUM('24-Month Projections'!C109:N109)</f>
        <v>66227.412954646454</v>
      </c>
      <c r="D46" s="31">
        <f>SUM('24-Month Projections'!O109:Z109)</f>
        <v>238605.05199279651</v>
      </c>
      <c r="E46" s="31">
        <f>C46+D46</f>
        <v>304832.46494744299</v>
      </c>
    </row>
    <row r="47" spans="2:5" x14ac:dyDescent="0.55000000000000004">
      <c r="B47" s="12" t="s">
        <v>324</v>
      </c>
      <c r="C47" s="13">
        <f>IF(C42&gt;0,C46/C42,0)</f>
        <v>0.53363879361154287</v>
      </c>
      <c r="D47" s="13">
        <f>IF(D42&gt;0,D46/D42,0)</f>
        <v>0.61226194139694379</v>
      </c>
      <c r="E47" s="13">
        <f>IF(E42&gt;0,E46/E42,0)</f>
        <v>0.59327158334353858</v>
      </c>
    </row>
    <row r="48" spans="2:5" x14ac:dyDescent="0.55000000000000004">
      <c r="B48" s="30" t="s">
        <v>325</v>
      </c>
      <c r="C48" s="31">
        <f>SUM('24-Month Projections'!C111:N111)</f>
        <v>52319.656234170689</v>
      </c>
      <c r="D48" s="31">
        <f>SUM('24-Month Projections'!O111:Z111)</f>
        <v>188497.99107430922</v>
      </c>
      <c r="E48" s="31">
        <f>C48+D48</f>
        <v>240817.64730847991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1FA2"/>
  </sheetPr>
  <dimension ref="B1:E28"/>
  <sheetViews>
    <sheetView workbookViewId="0">
      <selection activeCell="C25" sqref="C25"/>
    </sheetView>
  </sheetViews>
  <sheetFormatPr defaultRowHeight="14.4" x14ac:dyDescent="0.55000000000000004"/>
  <cols>
    <col min="1" max="1" width="3" customWidth="1"/>
    <col min="2" max="2" width="50" customWidth="1"/>
    <col min="3" max="5" width="25" customWidth="1"/>
  </cols>
  <sheetData>
    <row r="1" spans="2:5" ht="20.399999999999999" x14ac:dyDescent="0.75">
      <c r="B1" s="1" t="s">
        <v>326</v>
      </c>
    </row>
    <row r="2" spans="2:5" x14ac:dyDescent="0.55000000000000004">
      <c r="B2" s="2" t="s">
        <v>327</v>
      </c>
    </row>
    <row r="4" spans="2:5" ht="15.6" x14ac:dyDescent="0.6">
      <c r="B4" s="4" t="s">
        <v>328</v>
      </c>
      <c r="C4" s="4" t="s">
        <v>329</v>
      </c>
      <c r="D4" s="4" t="s">
        <v>330</v>
      </c>
      <c r="E4" s="4" t="s">
        <v>331</v>
      </c>
    </row>
    <row r="5" spans="2:5" x14ac:dyDescent="0.55000000000000004">
      <c r="B5" s="5" t="s">
        <v>332</v>
      </c>
      <c r="C5" s="41" t="s">
        <v>333</v>
      </c>
      <c r="D5" s="42" t="s">
        <v>334</v>
      </c>
      <c r="E5" s="41" t="s">
        <v>335</v>
      </c>
    </row>
    <row r="6" spans="2:5" x14ac:dyDescent="0.55000000000000004">
      <c r="B6" s="5" t="s">
        <v>336</v>
      </c>
      <c r="C6" s="41" t="s">
        <v>337</v>
      </c>
      <c r="D6" s="42" t="s">
        <v>338</v>
      </c>
      <c r="E6" s="41" t="s">
        <v>339</v>
      </c>
    </row>
    <row r="7" spans="2:5" x14ac:dyDescent="0.55000000000000004">
      <c r="B7" s="5" t="s">
        <v>340</v>
      </c>
      <c r="C7" s="41" t="s">
        <v>341</v>
      </c>
      <c r="D7" s="42" t="s">
        <v>342</v>
      </c>
      <c r="E7" s="41" t="s">
        <v>343</v>
      </c>
    </row>
    <row r="8" spans="2:5" x14ac:dyDescent="0.55000000000000004">
      <c r="B8" s="5" t="s">
        <v>344</v>
      </c>
      <c r="C8" s="41" t="s">
        <v>345</v>
      </c>
      <c r="D8" s="42" t="s">
        <v>346</v>
      </c>
      <c r="E8" s="41" t="s">
        <v>347</v>
      </c>
    </row>
    <row r="9" spans="2:5" x14ac:dyDescent="0.55000000000000004">
      <c r="B9" s="5" t="s">
        <v>348</v>
      </c>
      <c r="C9" s="41" t="s">
        <v>349</v>
      </c>
      <c r="D9" s="42" t="s">
        <v>350</v>
      </c>
      <c r="E9" s="41" t="s">
        <v>351</v>
      </c>
    </row>
    <row r="10" spans="2:5" x14ac:dyDescent="0.55000000000000004">
      <c r="B10" s="5" t="s">
        <v>352</v>
      </c>
      <c r="C10" s="41" t="s">
        <v>353</v>
      </c>
      <c r="D10" s="42" t="s">
        <v>354</v>
      </c>
      <c r="E10" s="41" t="s">
        <v>355</v>
      </c>
    </row>
    <row r="11" spans="2:5" x14ac:dyDescent="0.55000000000000004">
      <c r="B11" s="5" t="s">
        <v>356</v>
      </c>
      <c r="C11" s="41" t="s">
        <v>357</v>
      </c>
      <c r="D11" s="42" t="s">
        <v>358</v>
      </c>
      <c r="E11" s="41" t="s">
        <v>359</v>
      </c>
    </row>
    <row r="12" spans="2:5" x14ac:dyDescent="0.55000000000000004">
      <c r="B12" s="5" t="s">
        <v>360</v>
      </c>
      <c r="C12" s="41" t="s">
        <v>361</v>
      </c>
      <c r="D12" s="42" t="s">
        <v>362</v>
      </c>
      <c r="E12" s="41" t="s">
        <v>363</v>
      </c>
    </row>
    <row r="13" spans="2:5" x14ac:dyDescent="0.55000000000000004">
      <c r="B13" s="5" t="s">
        <v>364</v>
      </c>
      <c r="C13" s="41" t="s">
        <v>358</v>
      </c>
      <c r="D13" s="42" t="s">
        <v>359</v>
      </c>
      <c r="E13" s="41" t="s">
        <v>365</v>
      </c>
    </row>
    <row r="14" spans="2:5" x14ac:dyDescent="0.55000000000000004">
      <c r="B14" s="5" t="s">
        <v>366</v>
      </c>
      <c r="C14" s="41" t="s">
        <v>367</v>
      </c>
      <c r="D14" s="42" t="s">
        <v>368</v>
      </c>
      <c r="E14" s="41" t="s">
        <v>369</v>
      </c>
    </row>
    <row r="15" spans="2:5" x14ac:dyDescent="0.55000000000000004">
      <c r="B15" s="5" t="s">
        <v>370</v>
      </c>
      <c r="C15" s="41" t="s">
        <v>349</v>
      </c>
      <c r="D15" s="42" t="s">
        <v>371</v>
      </c>
      <c r="E15" s="41" t="s">
        <v>372</v>
      </c>
    </row>
    <row r="16" spans="2:5" x14ac:dyDescent="0.55000000000000004">
      <c r="B16" s="5" t="s">
        <v>373</v>
      </c>
      <c r="C16" s="41" t="s">
        <v>374</v>
      </c>
      <c r="D16" s="42" t="s">
        <v>375</v>
      </c>
      <c r="E16" s="41" t="s">
        <v>354</v>
      </c>
    </row>
    <row r="17" spans="2:5" x14ac:dyDescent="0.55000000000000004">
      <c r="B17" s="5" t="s">
        <v>376</v>
      </c>
      <c r="C17" s="41" t="s">
        <v>377</v>
      </c>
      <c r="D17" s="42" t="s">
        <v>378</v>
      </c>
      <c r="E17" s="41" t="s">
        <v>353</v>
      </c>
    </row>
    <row r="18" spans="2:5" x14ac:dyDescent="0.55000000000000004">
      <c r="B18" s="5" t="s">
        <v>379</v>
      </c>
      <c r="C18" s="41" t="s">
        <v>380</v>
      </c>
      <c r="D18" s="42" t="s">
        <v>381</v>
      </c>
      <c r="E18" s="41" t="s">
        <v>382</v>
      </c>
    </row>
    <row r="19" spans="2:5" x14ac:dyDescent="0.55000000000000004">
      <c r="B19" s="5" t="s">
        <v>383</v>
      </c>
      <c r="C19" s="41" t="s">
        <v>384</v>
      </c>
      <c r="D19" s="42" t="s">
        <v>385</v>
      </c>
      <c r="E19" s="41" t="s">
        <v>386</v>
      </c>
    </row>
    <row r="20" spans="2:5" x14ac:dyDescent="0.55000000000000004">
      <c r="B20" s="5" t="s">
        <v>387</v>
      </c>
      <c r="C20" s="41" t="s">
        <v>388</v>
      </c>
      <c r="D20" s="42" t="s">
        <v>389</v>
      </c>
      <c r="E20" s="41" t="s">
        <v>390</v>
      </c>
    </row>
    <row r="21" spans="2:5" x14ac:dyDescent="0.55000000000000004">
      <c r="B21" s="5" t="s">
        <v>391</v>
      </c>
      <c r="C21" s="41" t="s">
        <v>358</v>
      </c>
      <c r="D21" s="42" t="s">
        <v>363</v>
      </c>
      <c r="E21" s="41" t="s">
        <v>392</v>
      </c>
    </row>
    <row r="23" spans="2:5" ht="16.8" x14ac:dyDescent="0.65">
      <c r="B23" s="3" t="s">
        <v>393</v>
      </c>
    </row>
    <row r="24" spans="2:5" x14ac:dyDescent="0.55000000000000004">
      <c r="B24" s="43" t="s">
        <v>394</v>
      </c>
    </row>
    <row r="25" spans="2:5" x14ac:dyDescent="0.55000000000000004">
      <c r="B25" s="43" t="s">
        <v>395</v>
      </c>
    </row>
    <row r="26" spans="2:5" x14ac:dyDescent="0.55000000000000004">
      <c r="B26" s="43" t="s">
        <v>396</v>
      </c>
    </row>
    <row r="27" spans="2:5" x14ac:dyDescent="0.55000000000000004">
      <c r="B27" s="43" t="s">
        <v>397</v>
      </c>
    </row>
    <row r="28" spans="2:5" x14ac:dyDescent="0.55000000000000004">
      <c r="B28" s="43" t="s">
        <v>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32F2F"/>
  </sheetPr>
  <dimension ref="B1:G85"/>
  <sheetViews>
    <sheetView workbookViewId="0">
      <selection activeCell="F65" sqref="F65"/>
    </sheetView>
  </sheetViews>
  <sheetFormatPr defaultRowHeight="14.4" x14ac:dyDescent="0.55000000000000004"/>
  <cols>
    <col min="1" max="1" width="3" customWidth="1"/>
    <col min="2" max="2" width="55" customWidth="1"/>
    <col min="3" max="5" width="22" customWidth="1"/>
    <col min="6" max="6" width="40" customWidth="1"/>
    <col min="7" max="7" width="16" customWidth="1"/>
  </cols>
  <sheetData>
    <row r="1" spans="2:6" ht="20.399999999999999" x14ac:dyDescent="0.75">
      <c r="B1" s="1" t="s">
        <v>399</v>
      </c>
    </row>
    <row r="2" spans="2:6" x14ac:dyDescent="0.55000000000000004">
      <c r="B2" s="2" t="s">
        <v>400</v>
      </c>
    </row>
    <row r="3" spans="2:6" x14ac:dyDescent="0.55000000000000004">
      <c r="B3" s="2" t="s">
        <v>401</v>
      </c>
    </row>
    <row r="5" spans="2:6" ht="16.8" x14ac:dyDescent="0.65">
      <c r="B5" s="3" t="s">
        <v>402</v>
      </c>
    </row>
    <row r="6" spans="2:6" ht="15.6" x14ac:dyDescent="0.6">
      <c r="B6" s="4" t="s">
        <v>403</v>
      </c>
      <c r="C6" s="4" t="s">
        <v>404</v>
      </c>
      <c r="D6" s="4" t="s">
        <v>67</v>
      </c>
    </row>
    <row r="7" spans="2:6" x14ac:dyDescent="0.55000000000000004">
      <c r="B7" s="5" t="s">
        <v>405</v>
      </c>
      <c r="C7" s="11">
        <f>Assumptions!C33</f>
        <v>36.1</v>
      </c>
      <c r="D7" s="10" t="s">
        <v>117</v>
      </c>
      <c r="F7" s="10" t="s">
        <v>406</v>
      </c>
    </row>
    <row r="8" spans="2:6" x14ac:dyDescent="0.55000000000000004">
      <c r="B8" s="5" t="s">
        <v>407</v>
      </c>
      <c r="C8" s="44">
        <f>C7/1024</f>
        <v>3.5253906250000001E-2</v>
      </c>
      <c r="D8" s="10" t="s">
        <v>408</v>
      </c>
    </row>
    <row r="9" spans="2:6" x14ac:dyDescent="0.55000000000000004">
      <c r="B9" s="5" t="s">
        <v>409</v>
      </c>
      <c r="C9" s="19">
        <f>Assumptions!C38</f>
        <v>8</v>
      </c>
      <c r="D9" s="10" t="s">
        <v>410</v>
      </c>
    </row>
    <row r="10" spans="2:6" x14ac:dyDescent="0.55000000000000004">
      <c r="B10" s="5" t="s">
        <v>411</v>
      </c>
      <c r="C10" s="19">
        <f>Assumptions!C39</f>
        <v>2</v>
      </c>
      <c r="D10" s="10" t="s">
        <v>410</v>
      </c>
    </row>
    <row r="11" spans="2:6" x14ac:dyDescent="0.55000000000000004">
      <c r="B11" s="12" t="s">
        <v>412</v>
      </c>
      <c r="C11" s="23">
        <f>ROUND((C9*3+C10*9)/12,1)</f>
        <v>3.5</v>
      </c>
      <c r="D11" s="10" t="s">
        <v>410</v>
      </c>
      <c r="F11" s="10" t="s">
        <v>413</v>
      </c>
    </row>
    <row r="12" spans="2:6" x14ac:dyDescent="0.55000000000000004">
      <c r="B12" s="5" t="s">
        <v>55</v>
      </c>
      <c r="C12" s="38">
        <f>Assumptions!C40</f>
        <v>0.4</v>
      </c>
    </row>
    <row r="13" spans="2:6" x14ac:dyDescent="0.55000000000000004">
      <c r="B13" s="5" t="s">
        <v>414</v>
      </c>
      <c r="C13" s="11">
        <f>1+C12</f>
        <v>1.4</v>
      </c>
      <c r="F13" s="10" t="s">
        <v>415</v>
      </c>
    </row>
    <row r="14" spans="2:6" x14ac:dyDescent="0.55000000000000004">
      <c r="B14" s="5" t="s">
        <v>416</v>
      </c>
      <c r="C14" s="19">
        <f>Assumptions!C43</f>
        <v>3</v>
      </c>
    </row>
    <row r="15" spans="2:6" x14ac:dyDescent="0.55000000000000004">
      <c r="B15" s="5" t="s">
        <v>417</v>
      </c>
      <c r="C15" s="24">
        <f>ROUND(C12*2+0.1,1)</f>
        <v>0.9</v>
      </c>
      <c r="F15" s="10" t="s">
        <v>418</v>
      </c>
    </row>
    <row r="17" spans="2:6" ht="16.8" x14ac:dyDescent="0.65">
      <c r="B17" s="3" t="s">
        <v>419</v>
      </c>
    </row>
    <row r="18" spans="2:6" ht="15.6" x14ac:dyDescent="0.6">
      <c r="B18" s="4" t="s">
        <v>420</v>
      </c>
      <c r="C18" s="4" t="s">
        <v>13</v>
      </c>
      <c r="D18" s="4" t="s">
        <v>421</v>
      </c>
      <c r="E18" s="4" t="s">
        <v>125</v>
      </c>
    </row>
    <row r="19" spans="2:6" x14ac:dyDescent="0.55000000000000004">
      <c r="B19" s="5" t="s">
        <v>422</v>
      </c>
      <c r="C19" s="45">
        <f>(Assumptions!C41/1000000)*Assumptions!C69 + Assumptions!C41*(Assumptions!C71/1000)*(Assumptions!C72/1024)*Assumptions!C70</f>
        <v>3.0000000000000001E-6</v>
      </c>
      <c r="D19" s="10" t="s">
        <v>423</v>
      </c>
      <c r="F19" s="10" t="s">
        <v>424</v>
      </c>
    </row>
    <row r="20" spans="2:6" x14ac:dyDescent="0.55000000000000004">
      <c r="B20" s="5" t="s">
        <v>425</v>
      </c>
      <c r="C20" s="45">
        <f>(2*(1+Assumptions!C35)/1000000)*Assumptions!C56</f>
        <v>1.08E-5</v>
      </c>
      <c r="D20" s="10" t="s">
        <v>426</v>
      </c>
      <c r="F20" s="10" t="s">
        <v>427</v>
      </c>
    </row>
    <row r="21" spans="2:6" x14ac:dyDescent="0.55000000000000004">
      <c r="B21" s="5" t="s">
        <v>428</v>
      </c>
      <c r="C21" s="45">
        <f>(2*(1+Assumptions!C35)/10000)*Assumptions!C48</f>
        <v>2.4000000000000001E-5</v>
      </c>
      <c r="D21" s="10" t="s">
        <v>429</v>
      </c>
    </row>
    <row r="22" spans="2:6" x14ac:dyDescent="0.55000000000000004">
      <c r="B22" s="5" t="s">
        <v>430</v>
      </c>
      <c r="C22" s="45">
        <f>(Assumptions!C42/10000)*Assumptions!C64</f>
        <v>2.8800000000000004E-7</v>
      </c>
      <c r="D22" s="10" t="s">
        <v>431</v>
      </c>
      <c r="F22" s="10" t="s">
        <v>432</v>
      </c>
    </row>
    <row r="23" spans="2:6" x14ac:dyDescent="0.55000000000000004">
      <c r="B23" s="5" t="s">
        <v>433</v>
      </c>
      <c r="C23" s="45">
        <f>(Assumptions!C65/1024/1024)*Assumptions!C63</f>
        <v>8.5830688476562497E-8</v>
      </c>
      <c r="D23" s="10" t="s">
        <v>434</v>
      </c>
    </row>
    <row r="24" spans="2:6" x14ac:dyDescent="0.55000000000000004">
      <c r="B24" s="27" t="s">
        <v>435</v>
      </c>
      <c r="C24" s="65">
        <f>SUM(C19:C23)</f>
        <v>3.8173830688476564E-5</v>
      </c>
      <c r="D24" s="47"/>
      <c r="E24" s="47"/>
    </row>
    <row r="26" spans="2:6" ht="16.8" x14ac:dyDescent="0.65">
      <c r="B26" s="3" t="s">
        <v>436</v>
      </c>
      <c r="F26" s="10" t="s">
        <v>437</v>
      </c>
    </row>
    <row r="27" spans="2:6" ht="15.6" x14ac:dyDescent="0.6">
      <c r="B27" s="4" t="s">
        <v>420</v>
      </c>
      <c r="C27" s="4" t="s">
        <v>438</v>
      </c>
      <c r="D27" s="4" t="s">
        <v>421</v>
      </c>
      <c r="E27" s="4" t="s">
        <v>125</v>
      </c>
    </row>
    <row r="28" spans="2:6" x14ac:dyDescent="0.55000000000000004">
      <c r="B28" s="48" t="s">
        <v>439</v>
      </c>
      <c r="C28" s="49"/>
      <c r="D28" s="49"/>
      <c r="E28" s="49"/>
    </row>
    <row r="29" spans="2:6" x14ac:dyDescent="0.55000000000000004">
      <c r="B29" s="5" t="s">
        <v>440</v>
      </c>
      <c r="C29" s="45">
        <f>C8*Assumptions!C55</f>
        <v>5.2880859374999998E-4</v>
      </c>
      <c r="D29" s="10" t="s">
        <v>441</v>
      </c>
    </row>
    <row r="30" spans="2:6" x14ac:dyDescent="0.55000000000000004">
      <c r="B30" s="5" t="s">
        <v>442</v>
      </c>
      <c r="C30" s="45">
        <f>(C11/1000000)*Assumptions!C57</f>
        <v>1.26E-6</v>
      </c>
      <c r="D30" s="10" t="s">
        <v>443</v>
      </c>
      <c r="F30" s="10" t="s">
        <v>444</v>
      </c>
    </row>
    <row r="31" spans="2:6" x14ac:dyDescent="0.55000000000000004">
      <c r="B31" s="5" t="s">
        <v>445</v>
      </c>
      <c r="C31" s="45">
        <f>C11*C8*Assumptions!C58</f>
        <v>0</v>
      </c>
      <c r="D31" s="10" t="s">
        <v>446</v>
      </c>
      <c r="F31" s="10" t="s">
        <v>447</v>
      </c>
    </row>
    <row r="32" spans="2:6" x14ac:dyDescent="0.55000000000000004">
      <c r="B32" s="12" t="s">
        <v>448</v>
      </c>
      <c r="C32" s="50">
        <f>C29+C30+C31</f>
        <v>5.3006859374999998E-4</v>
      </c>
    </row>
    <row r="34" spans="2:6" x14ac:dyDescent="0.55000000000000004">
      <c r="B34" s="48" t="s">
        <v>449</v>
      </c>
      <c r="C34" s="49"/>
      <c r="D34" s="49"/>
      <c r="E34" s="49"/>
    </row>
    <row r="35" spans="2:6" x14ac:dyDescent="0.55000000000000004">
      <c r="B35" s="5" t="s">
        <v>450</v>
      </c>
      <c r="C35" s="45">
        <f>C8*Assumptions!C47</f>
        <v>3.5253906250000004E-4</v>
      </c>
      <c r="D35" s="10" t="s">
        <v>451</v>
      </c>
    </row>
    <row r="36" spans="2:6" x14ac:dyDescent="0.55000000000000004">
      <c r="B36" s="5" t="s">
        <v>452</v>
      </c>
      <c r="C36" s="45">
        <f>(C11*0.02/10000)*Assumptions!C49</f>
        <v>7.0000000000000005E-8</v>
      </c>
      <c r="D36" s="10" t="s">
        <v>453</v>
      </c>
      <c r="F36" s="10" t="s">
        <v>454</v>
      </c>
    </row>
    <row r="37" spans="2:6" x14ac:dyDescent="0.55000000000000004">
      <c r="B37" s="5" t="s">
        <v>455</v>
      </c>
      <c r="C37" s="45">
        <f>C11*0.02*C8*Assumptions!C50</f>
        <v>2.4677734375000001E-5</v>
      </c>
      <c r="D37" s="10" t="s">
        <v>456</v>
      </c>
      <c r="F37" s="10" t="s">
        <v>457</v>
      </c>
    </row>
    <row r="38" spans="2:6" x14ac:dyDescent="0.55000000000000004">
      <c r="B38" s="5" t="s">
        <v>458</v>
      </c>
      <c r="C38" s="45">
        <f>C11*0.02*C8*Assumptions!C51</f>
        <v>2.1469628906249999E-4</v>
      </c>
      <c r="D38" s="10" t="s">
        <v>459</v>
      </c>
      <c r="F38" s="10" t="s">
        <v>460</v>
      </c>
    </row>
    <row r="39" spans="2:6" x14ac:dyDescent="0.55000000000000004">
      <c r="B39" s="12" t="s">
        <v>461</v>
      </c>
      <c r="C39" s="50">
        <f>C35+C36+C37+C38</f>
        <v>5.9198308593750009E-4</v>
      </c>
    </row>
    <row r="41" spans="2:6" x14ac:dyDescent="0.55000000000000004">
      <c r="B41" s="48" t="s">
        <v>462</v>
      </c>
      <c r="C41" s="49"/>
      <c r="D41" s="49"/>
      <c r="E41" s="49"/>
    </row>
    <row r="42" spans="2:6" x14ac:dyDescent="0.55000000000000004">
      <c r="B42" s="5" t="s">
        <v>463</v>
      </c>
      <c r="C42" s="66">
        <f>(Assumptions!C65/1024/1024)*Assumptions!C63</f>
        <v>8.5830688476562497E-8</v>
      </c>
      <c r="D42" s="10" t="s">
        <v>464</v>
      </c>
    </row>
    <row r="43" spans="2:6" x14ac:dyDescent="0.55000000000000004">
      <c r="B43" s="5" t="s">
        <v>465</v>
      </c>
      <c r="C43" s="66">
        <f>(C11*C14/10000)*Assumptions!C64</f>
        <v>3.7800000000000002E-7</v>
      </c>
      <c r="D43" s="10" t="s">
        <v>466</v>
      </c>
    </row>
    <row r="44" spans="2:6" x14ac:dyDescent="0.55000000000000004">
      <c r="B44" s="5" t="s">
        <v>467</v>
      </c>
      <c r="C44" s="66">
        <f>(C11*C15/10000)*Assumptions!C64</f>
        <v>1.1340000000000001E-7</v>
      </c>
      <c r="D44" s="10" t="s">
        <v>468</v>
      </c>
    </row>
    <row r="45" spans="2:6" x14ac:dyDescent="0.55000000000000004">
      <c r="B45" s="12" t="s">
        <v>469</v>
      </c>
      <c r="C45" s="67">
        <f>C42+C43+C44</f>
        <v>5.7723068847656254E-7</v>
      </c>
    </row>
    <row r="47" spans="2:6" x14ac:dyDescent="0.55000000000000004">
      <c r="B47" s="48" t="s">
        <v>470</v>
      </c>
      <c r="C47" s="49"/>
      <c r="D47" s="49"/>
      <c r="E47" s="49"/>
    </row>
    <row r="48" spans="2:6" x14ac:dyDescent="0.55000000000000004">
      <c r="B48" s="5" t="s">
        <v>471</v>
      </c>
      <c r="C48" s="45">
        <f>(C11*C13/1000000)*Assumptions!C69</f>
        <v>9.7999999999999993E-7</v>
      </c>
      <c r="D48" s="10" t="s">
        <v>472</v>
      </c>
    </row>
    <row r="49" spans="2:6" x14ac:dyDescent="0.55000000000000004">
      <c r="B49" s="5" t="s">
        <v>473</v>
      </c>
      <c r="C49" s="45">
        <f>C11*C13*(Assumptions!C71/1000)*(Assumptions!C72/1024)*Assumptions!C70</f>
        <v>1.9599999999999999E-6</v>
      </c>
      <c r="D49" s="10" t="s">
        <v>474</v>
      </c>
      <c r="F49" s="10" t="s">
        <v>475</v>
      </c>
    </row>
    <row r="50" spans="2:6" x14ac:dyDescent="0.55000000000000004">
      <c r="B50" s="12" t="s">
        <v>476</v>
      </c>
      <c r="C50" s="50">
        <f>C48+C49</f>
        <v>2.9399999999999998E-6</v>
      </c>
    </row>
    <row r="52" spans="2:6" x14ac:dyDescent="0.55000000000000004">
      <c r="B52" s="48" t="s">
        <v>477</v>
      </c>
      <c r="C52" s="49"/>
      <c r="D52" s="49"/>
      <c r="E52" s="49"/>
    </row>
    <row r="53" spans="2:6" x14ac:dyDescent="0.55000000000000004">
      <c r="B53" s="5" t="s">
        <v>478</v>
      </c>
      <c r="C53" s="45">
        <f>0.3*Assumptions!C79</f>
        <v>7.5000000000000002E-4</v>
      </c>
      <c r="D53" s="10" t="s">
        <v>479</v>
      </c>
      <c r="F53" s="10" t="s">
        <v>480</v>
      </c>
    </row>
    <row r="54" spans="2:6" x14ac:dyDescent="0.55000000000000004">
      <c r="B54" s="12" t="s">
        <v>481</v>
      </c>
      <c r="C54" s="50">
        <f>C53</f>
        <v>7.5000000000000002E-4</v>
      </c>
    </row>
    <row r="56" spans="2:6" ht="16.8" x14ac:dyDescent="0.65">
      <c r="B56" s="51" t="s">
        <v>482</v>
      </c>
      <c r="C56" s="52">
        <f>C32+C39+C45+C50+C54</f>
        <v>1.8755689103759768E-3</v>
      </c>
      <c r="D56" s="47"/>
      <c r="E56" s="47"/>
    </row>
    <row r="58" spans="2:6" ht="16.8" x14ac:dyDescent="0.65">
      <c r="B58" s="3" t="s">
        <v>483</v>
      </c>
    </row>
    <row r="59" spans="2:6" ht="15.6" x14ac:dyDescent="0.6">
      <c r="B59" s="4" t="s">
        <v>484</v>
      </c>
      <c r="C59" s="4" t="s">
        <v>485</v>
      </c>
      <c r="D59" s="4" t="s">
        <v>486</v>
      </c>
      <c r="E59" s="4" t="s">
        <v>125</v>
      </c>
    </row>
    <row r="60" spans="2:6" x14ac:dyDescent="0.55000000000000004">
      <c r="B60" s="12" t="s">
        <v>487</v>
      </c>
      <c r="C60" s="53">
        <f>C56*12</f>
        <v>2.2506826924511721E-2</v>
      </c>
      <c r="D60" s="53">
        <f>C56*12+C24</f>
        <v>2.2545000755200197E-2</v>
      </c>
      <c r="F60" s="10" t="s">
        <v>488</v>
      </c>
    </row>
    <row r="61" spans="2:6" x14ac:dyDescent="0.55000000000000004">
      <c r="B61" s="12" t="s">
        <v>489</v>
      </c>
      <c r="C61" s="53">
        <f>C56*12</f>
        <v>2.2506826924511721E-2</v>
      </c>
      <c r="D61" s="53">
        <f>C24+C56*12</f>
        <v>2.2545000755200197E-2</v>
      </c>
      <c r="F61" s="10" t="s">
        <v>490</v>
      </c>
    </row>
    <row r="63" spans="2:6" ht="16.8" x14ac:dyDescent="0.65">
      <c r="B63" s="3" t="s">
        <v>491</v>
      </c>
    </row>
    <row r="64" spans="2:6" ht="15.6" x14ac:dyDescent="0.6">
      <c r="B64" s="4" t="s">
        <v>3</v>
      </c>
      <c r="C64" s="4" t="s">
        <v>492</v>
      </c>
      <c r="D64" s="4" t="s">
        <v>486</v>
      </c>
      <c r="E64" s="4" t="s">
        <v>493</v>
      </c>
      <c r="F64" s="4" t="s">
        <v>494</v>
      </c>
    </row>
    <row r="65" spans="2:7" x14ac:dyDescent="0.55000000000000004">
      <c r="B65" s="5" t="s">
        <v>495</v>
      </c>
      <c r="C65" s="26">
        <f>C56*120</f>
        <v>0.22506826924511722</v>
      </c>
      <c r="D65" s="26">
        <f>C24+C56*120</f>
        <v>0.22510644307580568</v>
      </c>
      <c r="E65" s="38">
        <f>IF(Assumptions!C6&gt;0,D65/Assumptions!C6,0)</f>
        <v>7.5060501192332676E-3</v>
      </c>
      <c r="F65" s="7">
        <f>Assumptions!C6-D65</f>
        <v>29.764893556924193</v>
      </c>
    </row>
    <row r="66" spans="2:7" x14ac:dyDescent="0.55000000000000004">
      <c r="B66" s="5" t="s">
        <v>496</v>
      </c>
      <c r="C66" s="26">
        <f>C56*180</f>
        <v>0.33760240386767582</v>
      </c>
      <c r="D66" s="26">
        <f>C24+C56*180</f>
        <v>0.33764057769836431</v>
      </c>
      <c r="E66" s="38">
        <f>IF(Assumptions!C7&gt;0,D66/Assumptions!C7,0)</f>
        <v>7.5047916803370595E-3</v>
      </c>
      <c r="F66" s="7">
        <f>Assumptions!C7-D66</f>
        <v>44.652359422301636</v>
      </c>
    </row>
    <row r="67" spans="2:7" x14ac:dyDescent="0.55000000000000004">
      <c r="B67" s="5" t="s">
        <v>497</v>
      </c>
      <c r="C67" s="26">
        <f>C56*360</f>
        <v>0.67520480773535163</v>
      </c>
      <c r="D67" s="26">
        <f>C24+C56*360</f>
        <v>0.67524298156604012</v>
      </c>
      <c r="E67" s="38">
        <f>IF(Assumptions!C8&gt;0,D67/Assumptions!C8,0)</f>
        <v>9.6477065518794144E-3</v>
      </c>
      <c r="F67" s="7">
        <f>Assumptions!C8-D67</f>
        <v>69.314757018433951</v>
      </c>
    </row>
    <row r="69" spans="2:7" ht="16.8" x14ac:dyDescent="0.65">
      <c r="B69" s="3" t="s">
        <v>498</v>
      </c>
    </row>
    <row r="70" spans="2:7" ht="15.6" x14ac:dyDescent="0.6">
      <c r="B70" s="4" t="s">
        <v>499</v>
      </c>
      <c r="C70" s="4" t="s">
        <v>438</v>
      </c>
      <c r="D70" s="4" t="s">
        <v>500</v>
      </c>
      <c r="E70" s="4" t="s">
        <v>501</v>
      </c>
    </row>
    <row r="71" spans="2:7" x14ac:dyDescent="0.55000000000000004">
      <c r="B71" s="5" t="s">
        <v>502</v>
      </c>
      <c r="C71" s="45">
        <f>C32</f>
        <v>5.3006859374999998E-4</v>
      </c>
      <c r="D71" s="38">
        <f>IF(C56&gt;0,C32/C56,0)</f>
        <v>0.28261749851875201</v>
      </c>
      <c r="E71" s="10" t="s">
        <v>503</v>
      </c>
    </row>
    <row r="72" spans="2:7" x14ac:dyDescent="0.55000000000000004">
      <c r="B72" s="5" t="s">
        <v>504</v>
      </c>
      <c r="C72" s="45">
        <f>C39</f>
        <v>5.9198308593750009E-4</v>
      </c>
      <c r="D72" s="38">
        <f>IF(C56&gt;0,C39/C56,0)</f>
        <v>0.31562854484447123</v>
      </c>
      <c r="E72" s="10" t="s">
        <v>505</v>
      </c>
    </row>
    <row r="73" spans="2:7" x14ac:dyDescent="0.55000000000000004">
      <c r="B73" s="5" t="s">
        <v>226</v>
      </c>
      <c r="C73" s="45">
        <f>C45</f>
        <v>5.7723068847656254E-7</v>
      </c>
      <c r="D73" s="38">
        <f>IF(C56&gt;0,C45/C56,0)</f>
        <v>3.0776298609089801E-4</v>
      </c>
      <c r="E73" s="10" t="s">
        <v>506</v>
      </c>
    </row>
    <row r="74" spans="2:7" x14ac:dyDescent="0.55000000000000004">
      <c r="B74" s="5" t="s">
        <v>507</v>
      </c>
      <c r="C74" s="45">
        <f>C50</f>
        <v>2.9399999999999998E-6</v>
      </c>
      <c r="D74" s="38">
        <f>IF(C56&gt;0,C50/C56,0)</f>
        <v>1.567524383527261E-3</v>
      </c>
      <c r="E74" s="10" t="s">
        <v>508</v>
      </c>
    </row>
    <row r="75" spans="2:7" x14ac:dyDescent="0.55000000000000004">
      <c r="B75" s="5" t="s">
        <v>509</v>
      </c>
      <c r="C75" s="45">
        <f>C54</f>
        <v>7.5000000000000002E-4</v>
      </c>
      <c r="D75" s="38">
        <f>IF(C56&gt;0,C54/C56,0)</f>
        <v>0.39987866926715848</v>
      </c>
      <c r="E75" s="10" t="s">
        <v>510</v>
      </c>
    </row>
    <row r="76" spans="2:7" x14ac:dyDescent="0.55000000000000004">
      <c r="B76" s="27" t="s">
        <v>511</v>
      </c>
      <c r="C76" s="46">
        <f>C56</f>
        <v>1.8755689103759768E-3</v>
      </c>
      <c r="D76" s="54">
        <f>SUM(D71:D75)</f>
        <v>1</v>
      </c>
    </row>
    <row r="78" spans="2:7" ht="16.8" x14ac:dyDescent="0.65">
      <c r="B78" s="3" t="s">
        <v>512</v>
      </c>
      <c r="F78" s="10" t="s">
        <v>513</v>
      </c>
    </row>
    <row r="79" spans="2:7" ht="15.6" x14ac:dyDescent="0.6">
      <c r="B79" s="4" t="s">
        <v>514</v>
      </c>
      <c r="C79" s="4" t="s">
        <v>515</v>
      </c>
      <c r="D79" s="4" t="s">
        <v>516</v>
      </c>
      <c r="E79" s="4" t="s">
        <v>517</v>
      </c>
      <c r="F79" s="4" t="s">
        <v>518</v>
      </c>
      <c r="G79" s="4" t="s">
        <v>519</v>
      </c>
    </row>
    <row r="80" spans="2:7" x14ac:dyDescent="0.55000000000000004">
      <c r="B80" s="5" t="s">
        <v>520</v>
      </c>
      <c r="C80" s="45">
        <f>(6/1024)*Assumptions!C55</f>
        <v>8.7890624999999997E-5</v>
      </c>
      <c r="D80" s="45">
        <f>(6/1024)*Assumptions!C47 + (C11*0.02/10000)*Assumptions!C49 + C11*0.02*(6/1024)*Assumptions!C50 + C11*0.02*(6/1024)*Assumptions!C51</f>
        <v>9.8448906250000001E-5</v>
      </c>
      <c r="E80" s="45">
        <f>C50+C45</f>
        <v>3.5172306884765622E-6</v>
      </c>
      <c r="F80" s="36">
        <f>C80+D80+E80+C54</f>
        <v>9.3985676193847659E-4</v>
      </c>
      <c r="G80" s="36">
        <f t="shared" ref="G80:G85" si="0">F80*12</f>
        <v>1.127828114326172E-2</v>
      </c>
    </row>
    <row r="81" spans="2:7" x14ac:dyDescent="0.55000000000000004">
      <c r="B81" s="5" t="s">
        <v>521</v>
      </c>
      <c r="C81" s="45">
        <f>(15/1024)*Assumptions!C55</f>
        <v>2.1972656249999998E-4</v>
      </c>
      <c r="D81" s="45">
        <f>(15/1024)*Assumptions!C47 + (C11*0.02/10000)*Assumptions!C49 + C11*0.02*(15/1024)*Assumptions!C50 + C11*0.02*(15/1024)*Assumptions!C51</f>
        <v>2.4601726562499998E-4</v>
      </c>
      <c r="E81" s="45">
        <f>C50+C45</f>
        <v>3.5172306884765622E-6</v>
      </c>
      <c r="F81" s="36">
        <f>C81+D81+E81+C54</f>
        <v>1.2192610588134766E-3</v>
      </c>
      <c r="G81" s="36">
        <f t="shared" si="0"/>
        <v>1.4631132705761718E-2</v>
      </c>
    </row>
    <row r="82" spans="2:7" x14ac:dyDescent="0.55000000000000004">
      <c r="B82" s="30" t="s">
        <v>522</v>
      </c>
      <c r="C82" s="55">
        <f>(35.85/1024)*Assumptions!C55</f>
        <v>5.2514648437499995E-4</v>
      </c>
      <c r="D82" s="55">
        <f>(35.85/1024)*Assumptions!C47 + (C11*0.02/10000)*Assumptions!C49 + C11*0.02*(35.85/1024)*Assumptions!C50 + C11*0.02*(35.85/1024)*Assumptions!C51</f>
        <v>5.8788396484375002E-4</v>
      </c>
      <c r="E82" s="55">
        <f>C50+C45</f>
        <v>3.5172306884765622E-6</v>
      </c>
      <c r="F82" s="56">
        <f>C82+D82+E82+C54</f>
        <v>1.8665476799072265E-3</v>
      </c>
      <c r="G82" s="36">
        <f t="shared" si="0"/>
        <v>2.2398572158886718E-2</v>
      </c>
    </row>
    <row r="83" spans="2:7" x14ac:dyDescent="0.55000000000000004">
      <c r="B83" s="5" t="s">
        <v>523</v>
      </c>
      <c r="C83" s="45">
        <f>(55/1024)*Assumptions!C55</f>
        <v>8.0566406249999996E-4</v>
      </c>
      <c r="D83" s="45">
        <f>(55/1024)*Assumptions!C47 + (C11*0.02/10000)*Assumptions!C49 + C11*0.02*(55/1024)*Assumptions!C50 + C11*0.02*(55/1024)*Assumptions!C51</f>
        <v>9.0187664062500012E-4</v>
      </c>
      <c r="E83" s="45">
        <f>C50+C45</f>
        <v>3.5172306884765622E-6</v>
      </c>
      <c r="F83" s="36">
        <f>C83+D83+E83+C54</f>
        <v>2.4610579338134766E-3</v>
      </c>
      <c r="G83" s="36">
        <f t="shared" si="0"/>
        <v>2.9532695205761718E-2</v>
      </c>
    </row>
    <row r="84" spans="2:7" x14ac:dyDescent="0.55000000000000004">
      <c r="B84" s="5" t="s">
        <v>524</v>
      </c>
      <c r="C84" s="45">
        <f>(100/1024)*Assumptions!C55</f>
        <v>1.46484375E-3</v>
      </c>
      <c r="D84" s="45">
        <f>(100/1024)*Assumptions!C47 + (C11*0.02/10000)*Assumptions!C49 + C11*0.02*(100/1024)*Assumptions!C50 + C11*0.02*(100/1024)*Assumptions!C51</f>
        <v>1.6397184375000001E-3</v>
      </c>
      <c r="E84" s="45">
        <f>C50+C45</f>
        <v>3.5172306884765622E-6</v>
      </c>
      <c r="F84" s="36">
        <f>C84+D84+E84+C54</f>
        <v>3.8580794181884764E-3</v>
      </c>
      <c r="G84" s="36">
        <f t="shared" si="0"/>
        <v>4.6296953018261713E-2</v>
      </c>
    </row>
    <row r="85" spans="2:7" x14ac:dyDescent="0.55000000000000004">
      <c r="B85" s="5" t="s">
        <v>525</v>
      </c>
      <c r="C85" s="45">
        <f>(150/1024)*Assumptions!C55</f>
        <v>2.197265625E-3</v>
      </c>
      <c r="D85" s="45">
        <f>(150/1024)*Assumptions!C47 + (C11*0.02/10000)*Assumptions!C49 + C11*0.02*(150/1024)*Assumptions!C50 + C11*0.02*(150/1024)*Assumptions!C51</f>
        <v>2.45954265625E-3</v>
      </c>
      <c r="E85" s="45">
        <f>C50+C45</f>
        <v>3.5172306884765622E-6</v>
      </c>
      <c r="F85" s="36">
        <f>C85+D85+E85+C54</f>
        <v>5.4103255119384765E-3</v>
      </c>
      <c r="G85" s="36">
        <f t="shared" si="0"/>
        <v>6.4923906143261711E-2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65C0"/>
  </sheetPr>
  <dimension ref="B1:Z63"/>
  <sheetViews>
    <sheetView workbookViewId="0">
      <pane xSplit="2" ySplit="4" topLeftCell="C8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3" customWidth="1"/>
    <col min="2" max="2" width="52" customWidth="1"/>
    <col min="3" max="26" width="14" customWidth="1"/>
  </cols>
  <sheetData>
    <row r="1" spans="2:26" ht="20.399999999999999" x14ac:dyDescent="0.75">
      <c r="B1" s="1" t="s">
        <v>526</v>
      </c>
    </row>
    <row r="2" spans="2:26" x14ac:dyDescent="0.55000000000000004">
      <c r="B2" s="2" t="s">
        <v>527</v>
      </c>
    </row>
    <row r="4" spans="2:26" ht="15.6" x14ac:dyDescent="0.6">
      <c r="B4" s="18"/>
      <c r="C4" s="4" t="s">
        <v>170</v>
      </c>
      <c r="D4" s="4" t="s">
        <v>171</v>
      </c>
      <c r="E4" s="4" t="s">
        <v>172</v>
      </c>
      <c r="F4" s="4" t="s">
        <v>173</v>
      </c>
      <c r="G4" s="4" t="s">
        <v>174</v>
      </c>
      <c r="H4" s="4" t="s">
        <v>175</v>
      </c>
      <c r="I4" s="4" t="s">
        <v>176</v>
      </c>
      <c r="J4" s="4" t="s">
        <v>177</v>
      </c>
      <c r="K4" s="4" t="s">
        <v>178</v>
      </c>
      <c r="L4" s="4" t="s">
        <v>179</v>
      </c>
      <c r="M4" s="4" t="s">
        <v>180</v>
      </c>
      <c r="N4" s="4" t="s">
        <v>181</v>
      </c>
      <c r="O4" s="4" t="s">
        <v>182</v>
      </c>
      <c r="P4" s="4" t="s">
        <v>183</v>
      </c>
      <c r="Q4" s="4" t="s">
        <v>184</v>
      </c>
      <c r="R4" s="4" t="s">
        <v>185</v>
      </c>
      <c r="S4" s="4" t="s">
        <v>186</v>
      </c>
      <c r="T4" s="4" t="s">
        <v>187</v>
      </c>
      <c r="U4" s="4" t="s">
        <v>188</v>
      </c>
      <c r="V4" s="4" t="s">
        <v>189</v>
      </c>
      <c r="W4" s="4" t="s">
        <v>190</v>
      </c>
      <c r="X4" s="4" t="s">
        <v>191</v>
      </c>
      <c r="Y4" s="4" t="s">
        <v>192</v>
      </c>
      <c r="Z4" s="4" t="s">
        <v>193</v>
      </c>
    </row>
    <row r="6" spans="2:26" ht="16.8" x14ac:dyDescent="0.65">
      <c r="B6" s="3" t="s">
        <v>528</v>
      </c>
      <c r="C6" s="4" t="s">
        <v>529</v>
      </c>
      <c r="D6" s="4" t="s">
        <v>530</v>
      </c>
      <c r="E6" s="4" t="s">
        <v>531</v>
      </c>
      <c r="F6" s="10" t="s">
        <v>532</v>
      </c>
      <c r="G6" s="12">
        <v>120</v>
      </c>
      <c r="H6" s="12">
        <v>180</v>
      </c>
      <c r="I6" s="12">
        <v>360</v>
      </c>
    </row>
    <row r="7" spans="2:26" x14ac:dyDescent="0.55000000000000004">
      <c r="B7" s="5" t="s">
        <v>533</v>
      </c>
      <c r="C7" s="26">
        <f>Assumptions!C6</f>
        <v>29.99</v>
      </c>
      <c r="D7" s="26">
        <f>Assumptions!C7</f>
        <v>44.99</v>
      </c>
      <c r="E7" s="26">
        <f>Assumptions!C8</f>
        <v>69.989999999999995</v>
      </c>
    </row>
    <row r="8" spans="2:26" x14ac:dyDescent="0.55000000000000004">
      <c r="B8" s="5" t="s">
        <v>534</v>
      </c>
      <c r="C8" s="26">
        <f>Assumptions!D6+Assumptions!C86+C7*Assumptions!C87+'Per-Charm Costs'!C24</f>
        <v>12.869748173830688</v>
      </c>
      <c r="D8" s="26">
        <f>Assumptions!D7+Assumptions!C86+D7*Assumptions!C87+'Per-Charm Costs'!C24</f>
        <v>13.304748173830689</v>
      </c>
      <c r="E8" s="26">
        <f>Assumptions!D8+Assumptions!C86+E7*Assumptions!C87+'Per-Charm Costs'!C24</f>
        <v>14.529748173830688</v>
      </c>
    </row>
    <row r="9" spans="2:26" x14ac:dyDescent="0.55000000000000004">
      <c r="B9" s="12" t="s">
        <v>535</v>
      </c>
      <c r="C9" s="7">
        <f>C8</f>
        <v>12.869748173830688</v>
      </c>
      <c r="D9" s="7">
        <f>D8</f>
        <v>13.304748173830689</v>
      </c>
      <c r="E9" s="7">
        <f>E8</f>
        <v>14.529748173830688</v>
      </c>
      <c r="F9" s="10" t="s">
        <v>536</v>
      </c>
    </row>
    <row r="10" spans="2:26" x14ac:dyDescent="0.55000000000000004">
      <c r="B10" s="57" t="s">
        <v>537</v>
      </c>
      <c r="C10" s="6">
        <f>C7-C9</f>
        <v>17.120251826169309</v>
      </c>
      <c r="D10" s="6">
        <f>D7-D9</f>
        <v>31.685251826169313</v>
      </c>
      <c r="E10" s="6">
        <f>E7-E9</f>
        <v>55.460251826169305</v>
      </c>
      <c r="F10" s="10" t="s">
        <v>538</v>
      </c>
    </row>
    <row r="11" spans="2:26" x14ac:dyDescent="0.55000000000000004">
      <c r="B11" s="12" t="s">
        <v>539</v>
      </c>
      <c r="C11" s="53">
        <f>C10/G6</f>
        <v>0.14266876521807756</v>
      </c>
      <c r="D11" s="53">
        <f>D10/H6</f>
        <v>0.17602917681205174</v>
      </c>
      <c r="E11" s="53">
        <f>E10/I6</f>
        <v>0.15405625507269252</v>
      </c>
      <c r="F11" s="10" t="s">
        <v>540</v>
      </c>
    </row>
    <row r="12" spans="2:26" x14ac:dyDescent="0.55000000000000004">
      <c r="B12" s="58" t="s">
        <v>541</v>
      </c>
      <c r="C12" s="59">
        <f>C7/G6</f>
        <v>0.24991666666666665</v>
      </c>
      <c r="D12" s="59">
        <f>D7/H6</f>
        <v>0.24994444444444447</v>
      </c>
      <c r="E12" s="59">
        <f>E7/I6</f>
        <v>0.19441666666666665</v>
      </c>
      <c r="F12" s="10" t="s">
        <v>542</v>
      </c>
    </row>
    <row r="14" spans="2:26" ht="16.8" x14ac:dyDescent="0.65">
      <c r="B14" s="3" t="s">
        <v>543</v>
      </c>
    </row>
    <row r="15" spans="2:26" x14ac:dyDescent="0.55000000000000004">
      <c r="B15" s="5" t="s">
        <v>544</v>
      </c>
      <c r="C15" s="19">
        <f>'24-Month Projections'!C6</f>
        <v>100</v>
      </c>
      <c r="D15" s="19">
        <f>C15+'24-Month Projections'!D6</f>
        <v>208</v>
      </c>
      <c r="E15" s="19">
        <f>D15+'24-Month Projections'!E6</f>
        <v>325</v>
      </c>
      <c r="F15" s="19">
        <f>E15+'24-Month Projections'!F6</f>
        <v>451</v>
      </c>
      <c r="G15" s="19">
        <f>F15+'24-Month Projections'!G6</f>
        <v>587</v>
      </c>
      <c r="H15" s="19">
        <f>G15+'24-Month Projections'!H6</f>
        <v>734</v>
      </c>
      <c r="I15" s="19">
        <f>H15+'24-Month Projections'!I6</f>
        <v>893</v>
      </c>
      <c r="J15" s="19">
        <f>I15+'24-Month Projections'!J6</f>
        <v>1065</v>
      </c>
      <c r="K15" s="19">
        <f>J15+'24-Month Projections'!K6</f>
        <v>1251</v>
      </c>
      <c r="L15" s="19">
        <f>K15+'24-Month Projections'!L6</f>
        <v>1452</v>
      </c>
      <c r="M15" s="19">
        <f>L15+'24-Month Projections'!M6</f>
        <v>1669</v>
      </c>
      <c r="N15" s="19">
        <f>M15+'24-Month Projections'!N6</f>
        <v>1903</v>
      </c>
      <c r="O15" s="19">
        <f>N15+'24-Month Projections'!O6</f>
        <v>2156</v>
      </c>
      <c r="P15" s="19">
        <f>O15+'24-Month Projections'!P6</f>
        <v>2429</v>
      </c>
      <c r="Q15" s="19">
        <f>P15+'24-Month Projections'!Q6</f>
        <v>2724</v>
      </c>
      <c r="R15" s="19">
        <f>Q15+'24-Month Projections'!R6</f>
        <v>3043</v>
      </c>
      <c r="S15" s="19">
        <f>R15+'24-Month Projections'!S6</f>
        <v>3388</v>
      </c>
      <c r="T15" s="19">
        <f>S15+'24-Month Projections'!T6</f>
        <v>3761</v>
      </c>
      <c r="U15" s="19">
        <f>T15+'24-Month Projections'!U6</f>
        <v>4164</v>
      </c>
      <c r="V15" s="19">
        <f>U15+'24-Month Projections'!V6</f>
        <v>4599</v>
      </c>
      <c r="W15" s="19">
        <f>V15+'24-Month Projections'!W6</f>
        <v>5069</v>
      </c>
      <c r="X15" s="19">
        <f>W15+'24-Month Projections'!X6</f>
        <v>5577</v>
      </c>
      <c r="Y15" s="19">
        <f>X15+'24-Month Projections'!Y6</f>
        <v>6126</v>
      </c>
      <c r="Z15" s="19">
        <f>Y15+'24-Month Projections'!Z6</f>
        <v>6719</v>
      </c>
    </row>
    <row r="16" spans="2:26" x14ac:dyDescent="0.55000000000000004">
      <c r="B16" s="5" t="s">
        <v>545</v>
      </c>
      <c r="C16" s="19">
        <f>'24-Month Projections'!C7</f>
        <v>40</v>
      </c>
      <c r="D16" s="19">
        <f>C16+'24-Month Projections'!D7</f>
        <v>84</v>
      </c>
      <c r="E16" s="19">
        <f>D16+'24-Month Projections'!E7</f>
        <v>132</v>
      </c>
      <c r="F16" s="19">
        <f>E16+'24-Month Projections'!F7</f>
        <v>185</v>
      </c>
      <c r="G16" s="19">
        <f>F16+'24-Month Projections'!G7</f>
        <v>243</v>
      </c>
      <c r="H16" s="19">
        <f>G16+'24-Month Projections'!H7</f>
        <v>307</v>
      </c>
      <c r="I16" s="19">
        <f>H16+'24-Month Projections'!I7</f>
        <v>377</v>
      </c>
      <c r="J16" s="19">
        <f>I16+'24-Month Projections'!J7</f>
        <v>454</v>
      </c>
      <c r="K16" s="19">
        <f>J16+'24-Month Projections'!K7</f>
        <v>539</v>
      </c>
      <c r="L16" s="19">
        <f>K16+'24-Month Projections'!L7</f>
        <v>633</v>
      </c>
      <c r="M16" s="19">
        <f>L16+'24-Month Projections'!M7</f>
        <v>736</v>
      </c>
      <c r="N16" s="19">
        <f>M16+'24-Month Projections'!N7</f>
        <v>849</v>
      </c>
      <c r="O16" s="19">
        <f>N16+'24-Month Projections'!O7</f>
        <v>973</v>
      </c>
      <c r="P16" s="19">
        <f>O16+'24-Month Projections'!P7</f>
        <v>1109</v>
      </c>
      <c r="Q16" s="19">
        <f>P16+'24-Month Projections'!Q7</f>
        <v>1259</v>
      </c>
      <c r="R16" s="19">
        <f>Q16+'24-Month Projections'!R7</f>
        <v>1424</v>
      </c>
      <c r="S16" s="19">
        <f>R16+'24-Month Projections'!S7</f>
        <v>1606</v>
      </c>
      <c r="T16" s="19">
        <f>S16+'24-Month Projections'!T7</f>
        <v>1806</v>
      </c>
      <c r="U16" s="19">
        <f>T16+'24-Month Projections'!U7</f>
        <v>2026</v>
      </c>
      <c r="V16" s="19">
        <f>U16+'24-Month Projections'!V7</f>
        <v>2268</v>
      </c>
      <c r="W16" s="19">
        <f>V16+'24-Month Projections'!W7</f>
        <v>2534</v>
      </c>
      <c r="X16" s="19">
        <f>W16+'24-Month Projections'!X7</f>
        <v>2827</v>
      </c>
      <c r="Y16" s="19">
        <f>X16+'24-Month Projections'!Y7</f>
        <v>3149</v>
      </c>
      <c r="Z16" s="19">
        <f>Y16+'24-Month Projections'!Z7</f>
        <v>3503</v>
      </c>
    </row>
    <row r="17" spans="2:26" x14ac:dyDescent="0.55000000000000004">
      <c r="B17" s="5" t="s">
        <v>546</v>
      </c>
      <c r="C17" s="19">
        <f>'24-Month Projections'!C8</f>
        <v>15</v>
      </c>
      <c r="D17" s="19">
        <f>C17+'24-Month Projections'!D8</f>
        <v>32</v>
      </c>
      <c r="E17" s="19">
        <f>D17+'24-Month Projections'!E8</f>
        <v>51</v>
      </c>
      <c r="F17" s="19">
        <f>E17+'24-Month Projections'!F8</f>
        <v>72</v>
      </c>
      <c r="G17" s="19">
        <f>F17+'24-Month Projections'!G8</f>
        <v>96</v>
      </c>
      <c r="H17" s="19">
        <f>G17+'24-Month Projections'!H8</f>
        <v>123</v>
      </c>
      <c r="I17" s="19">
        <f>H17+'24-Month Projections'!I8</f>
        <v>153</v>
      </c>
      <c r="J17" s="19">
        <f>I17+'24-Month Projections'!J8</f>
        <v>187</v>
      </c>
      <c r="K17" s="19">
        <f>J17+'24-Month Projections'!K8</f>
        <v>225</v>
      </c>
      <c r="L17" s="19">
        <f>K17+'24-Month Projections'!L8</f>
        <v>268</v>
      </c>
      <c r="M17" s="19">
        <f>L17+'24-Month Projections'!M8</f>
        <v>316</v>
      </c>
      <c r="N17" s="19">
        <f>M17+'24-Month Projections'!N8</f>
        <v>370</v>
      </c>
      <c r="O17" s="19">
        <f>N17+'24-Month Projections'!O8</f>
        <v>430</v>
      </c>
      <c r="P17" s="19">
        <f>O17+'24-Month Projections'!P8</f>
        <v>497</v>
      </c>
      <c r="Q17" s="19">
        <f>P17+'24-Month Projections'!Q8</f>
        <v>572</v>
      </c>
      <c r="R17" s="19">
        <f>Q17+'24-Month Projections'!R8</f>
        <v>656</v>
      </c>
      <c r="S17" s="19">
        <f>R17+'24-Month Projections'!S8</f>
        <v>750</v>
      </c>
      <c r="T17" s="19">
        <f>S17+'24-Month Projections'!T8</f>
        <v>855</v>
      </c>
      <c r="U17" s="19">
        <f>T17+'24-Month Projections'!U8</f>
        <v>973</v>
      </c>
      <c r="V17" s="19">
        <f>U17+'24-Month Projections'!V8</f>
        <v>1105</v>
      </c>
      <c r="W17" s="19">
        <f>V17+'24-Month Projections'!W8</f>
        <v>1253</v>
      </c>
      <c r="X17" s="19">
        <f>W17+'24-Month Projections'!X8</f>
        <v>1419</v>
      </c>
      <c r="Y17" s="19">
        <f>X17+'24-Month Projections'!Y8</f>
        <v>1605</v>
      </c>
      <c r="Z17" s="19">
        <f>Y17+'24-Month Projections'!Z8</f>
        <v>1813</v>
      </c>
    </row>
    <row r="18" spans="2:26" x14ac:dyDescent="0.55000000000000004">
      <c r="B18" s="12" t="s">
        <v>547</v>
      </c>
      <c r="C18" s="35">
        <f>'24-Month Projections'!C6*$C$7+'24-Month Projections'!C7*$D$7+'24-Month Projections'!C8*$E$7</f>
        <v>5848.4500000000007</v>
      </c>
      <c r="D18" s="35">
        <f>'24-Month Projections'!D6*$C$7+'24-Month Projections'!D7*$D$7+'24-Month Projections'!D8*$E$7</f>
        <v>6408.3099999999995</v>
      </c>
      <c r="E18" s="35">
        <f>'24-Month Projections'!E6*$C$7+'24-Month Projections'!E7*$D$7+'24-Month Projections'!E8*$E$7</f>
        <v>6998.16</v>
      </c>
      <c r="F18" s="35">
        <f>'24-Month Projections'!F6*$C$7+'24-Month Projections'!F7*$D$7+'24-Month Projections'!F8*$E$7</f>
        <v>7633</v>
      </c>
      <c r="G18" s="35">
        <f>'24-Month Projections'!G6*$C$7+'24-Month Projections'!G7*$D$7+'24-Month Projections'!G8*$E$7</f>
        <v>8367.82</v>
      </c>
      <c r="H18" s="35">
        <f>'24-Month Projections'!H6*$C$7+'24-Month Projections'!H7*$D$7+'24-Month Projections'!H8*$E$7</f>
        <v>9177.619999999999</v>
      </c>
      <c r="I18" s="35">
        <f>'24-Month Projections'!I6*$C$7+'24-Month Projections'!I7*$D$7+'24-Month Projections'!I8*$E$7</f>
        <v>10017.41</v>
      </c>
      <c r="J18" s="35">
        <f>'24-Month Projections'!J6*$C$7+'24-Month Projections'!J7*$D$7+'24-Month Projections'!J8*$E$7</f>
        <v>11002.17</v>
      </c>
      <c r="K18" s="35">
        <f>'24-Month Projections'!K6*$C$7+'24-Month Projections'!K7*$D$7+'24-Month Projections'!K8*$E$7</f>
        <v>12061.91</v>
      </c>
      <c r="L18" s="35">
        <f>'24-Month Projections'!L6*$C$7+'24-Month Projections'!L7*$D$7+'24-Month Projections'!L8*$E$7</f>
        <v>13266.619999999999</v>
      </c>
      <c r="M18" s="35">
        <f>'24-Month Projections'!M6*$C$7+'24-Month Projections'!M7*$D$7+'24-Month Projections'!M8*$E$7</f>
        <v>14501.32</v>
      </c>
      <c r="N18" s="35">
        <f>'24-Month Projections'!N6*$C$7+'24-Month Projections'!N7*$D$7+'24-Month Projections'!N8*$E$7</f>
        <v>15880.989999999998</v>
      </c>
      <c r="O18" s="35">
        <f>'24-Month Projections'!O6*$C$7+'24-Month Projections'!O7*$D$7+'24-Month Projections'!O8*$E$7</f>
        <v>17365.629999999997</v>
      </c>
      <c r="P18" s="35">
        <f>'24-Month Projections'!P6*$C$7+'24-Month Projections'!P7*$D$7+'24-Month Projections'!P8*$E$7</f>
        <v>18995.239999999998</v>
      </c>
      <c r="Q18" s="35">
        <f>'24-Month Projections'!Q6*$C$7+'24-Month Projections'!Q7*$D$7+'24-Month Projections'!Q8*$E$7</f>
        <v>20844.8</v>
      </c>
      <c r="R18" s="35">
        <f>'24-Month Projections'!R6*$C$7+'24-Month Projections'!R7*$D$7+'24-Month Projections'!R8*$E$7</f>
        <v>22869.32</v>
      </c>
      <c r="S18" s="35">
        <f>'24-Month Projections'!S6*$C$7+'24-Month Projections'!S7*$D$7+'24-Month Projections'!S8*$E$7</f>
        <v>25113.79</v>
      </c>
      <c r="T18" s="35">
        <f>'24-Month Projections'!T6*$C$7+'24-Month Projections'!T7*$D$7+'24-Month Projections'!T8*$E$7</f>
        <v>27533.219999999998</v>
      </c>
      <c r="U18" s="35">
        <f>'24-Month Projections'!U6*$C$7+'24-Month Projections'!U7*$D$7+'24-Month Projections'!U8*$E$7</f>
        <v>30242.59</v>
      </c>
      <c r="V18" s="35">
        <f>'24-Month Projections'!V6*$C$7+'24-Month Projections'!V7*$D$7+'24-Month Projections'!V8*$E$7</f>
        <v>33171.909999999996</v>
      </c>
      <c r="W18" s="35">
        <f>'24-Month Projections'!W6*$C$7+'24-Month Projections'!W7*$D$7+'24-Month Projections'!W8*$E$7</f>
        <v>36421.159999999996</v>
      </c>
      <c r="X18" s="35">
        <f>'24-Month Projections'!X6*$C$7+'24-Month Projections'!X7*$D$7+'24-Month Projections'!X8*$E$7</f>
        <v>40035.329999999994</v>
      </c>
      <c r="Y18" s="35">
        <f>'24-Month Projections'!Y6*$C$7+'24-Month Projections'!Y7*$D$7+'24-Month Projections'!Y8*$E$7</f>
        <v>43969.43</v>
      </c>
      <c r="Z18" s="35">
        <f>'24-Month Projections'!Z6*$C$7+'24-Month Projections'!Z7*$D$7+'24-Month Projections'!Z8*$E$7</f>
        <v>48268.45</v>
      </c>
    </row>
    <row r="19" spans="2:26" x14ac:dyDescent="0.55000000000000004">
      <c r="B19" s="5" t="s">
        <v>548</v>
      </c>
      <c r="C19" s="29">
        <f>'24-Month Projections'!C49+'24-Month Projections'!C50+'24-Month Projections'!C51</f>
        <v>199.72</v>
      </c>
      <c r="D19" s="29">
        <f>'24-Month Projections'!D49+'24-Month Projections'!D50+'24-Month Projections'!D51</f>
        <v>274.65999999999997</v>
      </c>
      <c r="E19" s="29">
        <f>'24-Month Projections'!E49+'24-Month Projections'!E50+'24-Month Projections'!E51</f>
        <v>389.57</v>
      </c>
      <c r="F19" s="29">
        <f>'24-Month Projections'!F49+'24-Month Projections'!F50+'24-Month Projections'!F51</f>
        <v>499.49</v>
      </c>
      <c r="G19" s="29">
        <f>'24-Month Projections'!G49+'24-Month Projections'!G50+'24-Month Projections'!G51</f>
        <v>629.3900000000001</v>
      </c>
      <c r="H19" s="29">
        <f>'24-Month Projections'!H49+'24-Month Projections'!H50+'24-Month Projections'!H51</f>
        <v>764.29</v>
      </c>
      <c r="I19" s="29">
        <f>'24-Month Projections'!I49+'24-Month Projections'!I50+'24-Month Projections'!I51</f>
        <v>894.18999999999994</v>
      </c>
      <c r="J19" s="29">
        <f>'24-Month Projections'!J49+'24-Month Projections'!J50+'24-Month Projections'!J51</f>
        <v>1059.07</v>
      </c>
      <c r="K19" s="29">
        <f>'24-Month Projections'!K49+'24-Month Projections'!K50+'24-Month Projections'!K51</f>
        <v>1228.94</v>
      </c>
      <c r="L19" s="29">
        <f>'24-Month Projections'!L49+'24-Month Projections'!L50+'24-Month Projections'!L51</f>
        <v>1438.78</v>
      </c>
      <c r="M19" s="29">
        <f>'24-Month Projections'!M49+'24-Month Projections'!M50+'24-Month Projections'!M51</f>
        <v>1623.64</v>
      </c>
      <c r="N19" s="29">
        <f>'24-Month Projections'!N49+'24-Month Projections'!N50+'24-Month Projections'!N51</f>
        <v>1848.47</v>
      </c>
      <c r="O19" s="29">
        <f>'24-Month Projections'!O49+'24-Month Projections'!O50+'24-Month Projections'!O51</f>
        <v>2113.27</v>
      </c>
      <c r="P19" s="29">
        <f>'24-Month Projections'!P49+'24-Month Projections'!P50+'24-Month Projections'!P51</f>
        <v>2368.08</v>
      </c>
      <c r="Q19" s="29">
        <f>'24-Month Projections'!Q49+'24-Month Projections'!Q50+'24-Month Projections'!Q51</f>
        <v>2672.8500000000004</v>
      </c>
      <c r="R19" s="29">
        <f>'24-Month Projections'!R49+'24-Month Projections'!R50+'24-Month Projections'!R51</f>
        <v>2972.62</v>
      </c>
      <c r="S19" s="29">
        <f>'24-Month Projections'!S49+'24-Month Projections'!S50+'24-Month Projections'!S51</f>
        <v>3327.35</v>
      </c>
      <c r="T19" s="29">
        <f>'24-Month Projections'!T49+'24-Month Projections'!T50+'24-Month Projections'!T51</f>
        <v>3707.06</v>
      </c>
      <c r="U19" s="29">
        <f>'24-Month Projections'!U49+'24-Month Projections'!U50+'24-Month Projections'!U51</f>
        <v>4136.7400000000007</v>
      </c>
      <c r="V19" s="29">
        <f>'24-Month Projections'!V49+'24-Month Projections'!V50+'24-Month Projections'!V51</f>
        <v>4586.3999999999996</v>
      </c>
      <c r="W19" s="29">
        <f>'24-Month Projections'!W49+'24-Month Projections'!W50+'24-Month Projections'!W51</f>
        <v>5096.01</v>
      </c>
      <c r="X19" s="29">
        <f>'24-Month Projections'!X49+'24-Month Projections'!X50+'24-Month Projections'!X51</f>
        <v>5620.61</v>
      </c>
      <c r="Y19" s="29">
        <f>'24-Month Projections'!Y49+'24-Month Projections'!Y50+'24-Month Projections'!Y51</f>
        <v>6240.1399999999994</v>
      </c>
      <c r="Z19" s="29">
        <f>'24-Month Projections'!Z49+'24-Month Projections'!Z50+'24-Month Projections'!Z51</f>
        <v>6874.66</v>
      </c>
    </row>
    <row r="20" spans="2:26" x14ac:dyDescent="0.55000000000000004">
      <c r="B20" s="30" t="s">
        <v>549</v>
      </c>
      <c r="C20" s="31">
        <f t="shared" ref="C20:Z20" si="0">C18+C19</f>
        <v>6048.170000000001</v>
      </c>
      <c r="D20" s="31">
        <f t="shared" si="0"/>
        <v>6682.9699999999993</v>
      </c>
      <c r="E20" s="31">
        <f t="shared" si="0"/>
        <v>7387.73</v>
      </c>
      <c r="F20" s="31">
        <f t="shared" si="0"/>
        <v>8132.49</v>
      </c>
      <c r="G20" s="31">
        <f t="shared" si="0"/>
        <v>8997.2099999999991</v>
      </c>
      <c r="H20" s="31">
        <f t="shared" si="0"/>
        <v>9941.91</v>
      </c>
      <c r="I20" s="31">
        <f t="shared" si="0"/>
        <v>10911.6</v>
      </c>
      <c r="J20" s="31">
        <f t="shared" si="0"/>
        <v>12061.24</v>
      </c>
      <c r="K20" s="31">
        <f t="shared" si="0"/>
        <v>13290.85</v>
      </c>
      <c r="L20" s="31">
        <f t="shared" si="0"/>
        <v>14705.4</v>
      </c>
      <c r="M20" s="31">
        <f t="shared" si="0"/>
        <v>16124.96</v>
      </c>
      <c r="N20" s="31">
        <f t="shared" si="0"/>
        <v>17729.46</v>
      </c>
      <c r="O20" s="31">
        <f t="shared" si="0"/>
        <v>19478.899999999998</v>
      </c>
      <c r="P20" s="31">
        <f t="shared" si="0"/>
        <v>21363.32</v>
      </c>
      <c r="Q20" s="31">
        <f t="shared" si="0"/>
        <v>23517.65</v>
      </c>
      <c r="R20" s="31">
        <f t="shared" si="0"/>
        <v>25841.94</v>
      </c>
      <c r="S20" s="31">
        <f t="shared" si="0"/>
        <v>28441.14</v>
      </c>
      <c r="T20" s="31">
        <f t="shared" si="0"/>
        <v>31240.28</v>
      </c>
      <c r="U20" s="31">
        <f t="shared" si="0"/>
        <v>34379.33</v>
      </c>
      <c r="V20" s="31">
        <f t="shared" si="0"/>
        <v>37758.31</v>
      </c>
      <c r="W20" s="31">
        <f t="shared" si="0"/>
        <v>41517.17</v>
      </c>
      <c r="X20" s="31">
        <f t="shared" si="0"/>
        <v>45655.939999999995</v>
      </c>
      <c r="Y20" s="31">
        <f t="shared" si="0"/>
        <v>50209.57</v>
      </c>
      <c r="Z20" s="31">
        <f t="shared" si="0"/>
        <v>55143.11</v>
      </c>
    </row>
    <row r="22" spans="2:26" ht="16.8" x14ac:dyDescent="0.65">
      <c r="B22" s="3" t="s">
        <v>550</v>
      </c>
      <c r="F22" s="2" t="s">
        <v>551</v>
      </c>
    </row>
    <row r="23" spans="2:26" x14ac:dyDescent="0.55000000000000004">
      <c r="B23" s="5" t="s">
        <v>552</v>
      </c>
      <c r="C23" s="29">
        <f>'24-Month Projections'!C6*$C$9+'24-Month Projections'!C7*$D$9+'24-Month Projections'!C8*$E$9</f>
        <v>2037.1109669437567</v>
      </c>
      <c r="D23" s="29">
        <f>'24-Month Projections'!D6*$C$9+'24-Month Projections'!D7*$D$9+'24-Month Projections'!D8*$E$9</f>
        <v>2222.3474413773861</v>
      </c>
      <c r="E23" s="29">
        <f>'24-Month Projections'!E6*$C$9+'24-Month Projections'!E7*$D$9+'24-Month Projections'!E8*$E$9</f>
        <v>2420.4536639848466</v>
      </c>
      <c r="F23" s="29">
        <f>'24-Month Projections'!F6*$C$9+'24-Month Projections'!F7*$D$9+'24-Month Projections'!F8*$E$9</f>
        <v>2631.8646347661379</v>
      </c>
      <c r="G23" s="29">
        <f>'24-Month Projections'!G6*$C$9+'24-Month Projections'!G7*$D$9+'24-Month Projections'!G8*$E$9</f>
        <v>2870.6751018950899</v>
      </c>
      <c r="H23" s="29">
        <f>'24-Month Projections'!H6*$C$9+'24-Month Projections'!H7*$D$9+'24-Month Projections'!H8*$E$9</f>
        <v>3135.6600653717037</v>
      </c>
      <c r="I23" s="29">
        <f>'24-Month Projections'!I6*$C$9+'24-Month Projections'!I7*$D$9+'24-Month Projections'!I8*$E$9</f>
        <v>3413.5147770221483</v>
      </c>
      <c r="J23" s="29">
        <f>'24-Month Projections'!J6*$C$9+'24-Month Projections'!J7*$D$9+'24-Month Projections'!J8*$E$9</f>
        <v>3732.0737331940845</v>
      </c>
      <c r="K23" s="29">
        <f>'24-Month Projections'!K6*$C$9+'24-Month Projections'!K7*$D$9+'24-Month Projections'!K8*$E$9</f>
        <v>4076.8071857136829</v>
      </c>
      <c r="L23" s="29">
        <f>'24-Month Projections'!L6*$C$9+'24-Month Projections'!L7*$D$9+'24-Month Projections'!L8*$E$9</f>
        <v>4462.2448827547732</v>
      </c>
      <c r="M23" s="29">
        <f>'24-Month Projections'!M6*$C$9+'24-Month Projections'!M7*$D$9+'24-Month Projections'!M8*$E$9</f>
        <v>4860.5523279696927</v>
      </c>
      <c r="N23" s="29">
        <f>'24-Month Projections'!N6*$C$9+'24-Month Projections'!N7*$D$9+'24-Month Projections'!N8*$E$9</f>
        <v>5299.5640177061059</v>
      </c>
      <c r="O23" s="29">
        <f>'24-Month Projections'!O6*$C$9+'24-Month Projections'!O7*$D$9+'24-Month Projections'!O8*$E$9</f>
        <v>5777.6199519640113</v>
      </c>
      <c r="P23" s="29">
        <f>'24-Month Projections'!P6*$C$9+'24-Month Projections'!P7*$D$9+'24-Month Projections'!P8*$E$9</f>
        <v>6296.3801307434078</v>
      </c>
      <c r="Q23" s="29">
        <f>'24-Month Projections'!Q6*$C$9+'24-Month Projections'!Q7*$D$9+'24-Month Projections'!Q8*$E$9</f>
        <v>6882.0190503919584</v>
      </c>
      <c r="R23" s="29">
        <f>'24-Month Projections'!R6*$C$9+'24-Month Projections'!R7*$D$9+'24-Month Projections'!R8*$E$9</f>
        <v>7521.2319627358311</v>
      </c>
      <c r="S23" s="29">
        <f>'24-Month Projections'!S6*$C$9+'24-Month Projections'!S7*$D$9+'24-Month Projections'!S8*$E$9</f>
        <v>8227.323615948857</v>
      </c>
      <c r="T23" s="29">
        <f>'24-Month Projections'!T6*$C$9+'24-Month Projections'!T7*$D$9+'24-Month Projections'!T8*$E$9</f>
        <v>8986.9892618572067</v>
      </c>
      <c r="U23" s="29">
        <f>'24-Month Projections'!U6*$C$9+'24-Month Projections'!U7*$D$9+'24-Month Projections'!U8*$E$9</f>
        <v>9828.0633968085403</v>
      </c>
      <c r="V23" s="29">
        <f>'24-Month Projections'!V6*$C$9+'24-Month Projections'!V7*$D$9+'24-Month Projections'!V8*$E$9</f>
        <v>10736.016272629025</v>
      </c>
      <c r="W23" s="29">
        <f>'24-Month Projections'!W6*$C$9+'24-Month Projections'!W7*$D$9+'24-Month Projections'!W8*$E$9</f>
        <v>11738.247385666329</v>
      </c>
      <c r="X23" s="29">
        <f>'24-Month Projections'!X6*$C$9+'24-Month Projections'!X7*$D$9+'24-Month Projections'!X8*$E$9</f>
        <v>12848.061484094274</v>
      </c>
      <c r="Y23" s="29">
        <f>'24-Month Projections'!Y6*$C$9+'24-Month Projections'!Y7*$D$9+'24-Month Projections'!Y8*$E$9</f>
        <v>14052.153819739038</v>
      </c>
      <c r="Z23" s="29">
        <f>'24-Month Projections'!Z6*$C$9+'24-Month Projections'!Z7*$D$9+'24-Month Projections'!Z8*$E$9</f>
        <v>15363.829140774444</v>
      </c>
    </row>
    <row r="24" spans="2:26" x14ac:dyDescent="0.55000000000000004">
      <c r="B24" s="5" t="s">
        <v>553</v>
      </c>
      <c r="C24" s="29">
        <f t="shared" ref="C24:Z24" si="1">C15*$C$11+C16*$D$11+C17*$E$11</f>
        <v>23.618887420380215</v>
      </c>
      <c r="D24" s="29">
        <f t="shared" si="1"/>
        <v>49.391354179898634</v>
      </c>
      <c r="E24" s="29">
        <f t="shared" si="1"/>
        <v>77.460069043773359</v>
      </c>
      <c r="F24" s="29">
        <f t="shared" si="1"/>
        <v>108.00106118881641</v>
      </c>
      <c r="G24" s="29">
        <f t="shared" si="1"/>
        <v>141.31105563531858</v>
      </c>
      <c r="H24" s="29">
        <f t="shared" si="1"/>
        <v>177.70875032531001</v>
      </c>
      <c r="I24" s="29">
        <f t="shared" si="1"/>
        <v>217.33681402400873</v>
      </c>
      <c r="J24" s="29">
        <f t="shared" si="1"/>
        <v>260.66800092851759</v>
      </c>
      <c r="K24" s="29">
        <f t="shared" si="1"/>
        <v>308.02100898086672</v>
      </c>
      <c r="L24" s="29">
        <f t="shared" si="1"/>
        <v>359.86859237815895</v>
      </c>
      <c r="M24" s="29">
        <f t="shared" si="1"/>
        <v>416.35341988561237</v>
      </c>
      <c r="N24" s="29">
        <f t="shared" si="1"/>
        <v>477.94824570032978</v>
      </c>
      <c r="O24" s="29">
        <f t="shared" si="1"/>
        <v>545.11443652955938</v>
      </c>
      <c r="P24" s="29">
        <f t="shared" si="1"/>
        <v>618.32474657040393</v>
      </c>
      <c r="Q24" s="29">
        <f t="shared" si="1"/>
        <v>698.37062796199643</v>
      </c>
      <c r="R24" s="29">
        <f t="shared" si="1"/>
        <v>785.86750366665808</v>
      </c>
      <c r="S24" s="29">
        <f t="shared" si="1"/>
        <v>881.60682582352126</v>
      </c>
      <c r="T24" s="29">
        <f t="shared" si="1"/>
        <v>986.20401739490717</v>
      </c>
      <c r="U24" s="29">
        <f t="shared" si="1"/>
        <v>1100.6045867750217</v>
      </c>
      <c r="V24" s="29">
        <f t="shared" si="1"/>
        <v>1225.5999861029975</v>
      </c>
      <c r="W24" s="29">
        <f t="shared" si="1"/>
        <v>1362.278392538258</v>
      </c>
      <c r="X24" s="29">
        <f t="shared" si="1"/>
        <v>1511.9040124170394</v>
      </c>
      <c r="Y24" s="29">
        <f t="shared" si="1"/>
        <v>1675.5650228987656</v>
      </c>
      <c r="Z24" s="29">
        <f t="shared" si="1"/>
        <v>1854.525630319672</v>
      </c>
    </row>
    <row r="25" spans="2:26" x14ac:dyDescent="0.55000000000000004">
      <c r="B25" s="5" t="s">
        <v>554</v>
      </c>
      <c r="C25" s="29">
        <f t="shared" ref="C25:Z25" si="2">C19</f>
        <v>199.72</v>
      </c>
      <c r="D25" s="29">
        <f t="shared" si="2"/>
        <v>274.65999999999997</v>
      </c>
      <c r="E25" s="29">
        <f t="shared" si="2"/>
        <v>389.57</v>
      </c>
      <c r="F25" s="29">
        <f t="shared" si="2"/>
        <v>499.49</v>
      </c>
      <c r="G25" s="29">
        <f t="shared" si="2"/>
        <v>629.3900000000001</v>
      </c>
      <c r="H25" s="29">
        <f t="shared" si="2"/>
        <v>764.29</v>
      </c>
      <c r="I25" s="29">
        <f t="shared" si="2"/>
        <v>894.18999999999994</v>
      </c>
      <c r="J25" s="29">
        <f t="shared" si="2"/>
        <v>1059.07</v>
      </c>
      <c r="K25" s="29">
        <f t="shared" si="2"/>
        <v>1228.94</v>
      </c>
      <c r="L25" s="29">
        <f t="shared" si="2"/>
        <v>1438.78</v>
      </c>
      <c r="M25" s="29">
        <f t="shared" si="2"/>
        <v>1623.64</v>
      </c>
      <c r="N25" s="29">
        <f t="shared" si="2"/>
        <v>1848.47</v>
      </c>
      <c r="O25" s="29">
        <f t="shared" si="2"/>
        <v>2113.27</v>
      </c>
      <c r="P25" s="29">
        <f t="shared" si="2"/>
        <v>2368.08</v>
      </c>
      <c r="Q25" s="29">
        <f t="shared" si="2"/>
        <v>2672.8500000000004</v>
      </c>
      <c r="R25" s="29">
        <f t="shared" si="2"/>
        <v>2972.62</v>
      </c>
      <c r="S25" s="29">
        <f t="shared" si="2"/>
        <v>3327.35</v>
      </c>
      <c r="T25" s="29">
        <f t="shared" si="2"/>
        <v>3707.06</v>
      </c>
      <c r="U25" s="29">
        <f t="shared" si="2"/>
        <v>4136.7400000000007</v>
      </c>
      <c r="V25" s="29">
        <f t="shared" si="2"/>
        <v>4586.3999999999996</v>
      </c>
      <c r="W25" s="29">
        <f t="shared" si="2"/>
        <v>5096.01</v>
      </c>
      <c r="X25" s="29">
        <f t="shared" si="2"/>
        <v>5620.61</v>
      </c>
      <c r="Y25" s="29">
        <f t="shared" si="2"/>
        <v>6240.1399999999994</v>
      </c>
      <c r="Z25" s="29">
        <f t="shared" si="2"/>
        <v>6874.66</v>
      </c>
    </row>
    <row r="26" spans="2:26" x14ac:dyDescent="0.55000000000000004">
      <c r="B26" s="57" t="s">
        <v>555</v>
      </c>
      <c r="C26" s="17">
        <f t="shared" ref="C26:Z26" si="3">C23+C24+C25</f>
        <v>2260.4498543641366</v>
      </c>
      <c r="D26" s="17">
        <f t="shared" si="3"/>
        <v>2546.3987955572848</v>
      </c>
      <c r="E26" s="17">
        <f t="shared" si="3"/>
        <v>2887.48373302862</v>
      </c>
      <c r="F26" s="17">
        <f t="shared" si="3"/>
        <v>3239.3556959549542</v>
      </c>
      <c r="G26" s="17">
        <f t="shared" si="3"/>
        <v>3641.3761575304088</v>
      </c>
      <c r="H26" s="17">
        <f t="shared" si="3"/>
        <v>4077.6588156970138</v>
      </c>
      <c r="I26" s="17">
        <f t="shared" si="3"/>
        <v>4525.041591046157</v>
      </c>
      <c r="J26" s="17">
        <f t="shared" si="3"/>
        <v>5051.8117341226016</v>
      </c>
      <c r="K26" s="17">
        <f t="shared" si="3"/>
        <v>5613.7681946945504</v>
      </c>
      <c r="L26" s="17">
        <f t="shared" si="3"/>
        <v>6260.8934751329316</v>
      </c>
      <c r="M26" s="17">
        <f t="shared" si="3"/>
        <v>6900.5457478553053</v>
      </c>
      <c r="N26" s="17">
        <f t="shared" si="3"/>
        <v>7625.9822634064358</v>
      </c>
      <c r="O26" s="17">
        <f t="shared" si="3"/>
        <v>8436.0043884935712</v>
      </c>
      <c r="P26" s="17">
        <f t="shared" si="3"/>
        <v>9282.7848773138121</v>
      </c>
      <c r="Q26" s="17">
        <f t="shared" si="3"/>
        <v>10253.239678353955</v>
      </c>
      <c r="R26" s="17">
        <f t="shared" si="3"/>
        <v>11279.71946640249</v>
      </c>
      <c r="S26" s="17">
        <f t="shared" si="3"/>
        <v>12436.280441772378</v>
      </c>
      <c r="T26" s="17">
        <f t="shared" si="3"/>
        <v>13680.253279252114</v>
      </c>
      <c r="U26" s="17">
        <f t="shared" si="3"/>
        <v>15065.407983583562</v>
      </c>
      <c r="V26" s="17">
        <f t="shared" si="3"/>
        <v>16548.016258732023</v>
      </c>
      <c r="W26" s="17">
        <f t="shared" si="3"/>
        <v>18196.535778204587</v>
      </c>
      <c r="X26" s="17">
        <f t="shared" si="3"/>
        <v>19980.575496511312</v>
      </c>
      <c r="Y26" s="17">
        <f t="shared" si="3"/>
        <v>21967.858842637805</v>
      </c>
      <c r="Z26" s="17">
        <f t="shared" si="3"/>
        <v>24093.014771094116</v>
      </c>
    </row>
    <row r="28" spans="2:26" ht="16.8" x14ac:dyDescent="0.65">
      <c r="B28" s="3" t="s">
        <v>556</v>
      </c>
      <c r="F28" s="2" t="s">
        <v>557</v>
      </c>
    </row>
    <row r="29" spans="2:26" x14ac:dyDescent="0.55000000000000004">
      <c r="B29" s="5" t="s">
        <v>558</v>
      </c>
      <c r="C29" s="29">
        <f t="shared" ref="C29:Z29" si="4">C15*$C$12+C16*$D$12+C17*$E$12</f>
        <v>37.905694444444443</v>
      </c>
      <c r="D29" s="29">
        <f t="shared" si="4"/>
        <v>79.199333333333328</v>
      </c>
      <c r="E29" s="29">
        <f t="shared" si="4"/>
        <v>124.13083333333334</v>
      </c>
      <c r="F29" s="29">
        <f t="shared" si="4"/>
        <v>172.95013888888889</v>
      </c>
      <c r="G29" s="29">
        <f t="shared" si="4"/>
        <v>226.10158333333331</v>
      </c>
      <c r="H29" s="29">
        <f t="shared" si="4"/>
        <v>284.08502777777778</v>
      </c>
      <c r="I29" s="29">
        <f t="shared" si="4"/>
        <v>347.15038888888887</v>
      </c>
      <c r="J29" s="29">
        <f t="shared" si="4"/>
        <v>415.99194444444441</v>
      </c>
      <c r="K29" s="29">
        <f t="shared" si="4"/>
        <v>491.10955555555552</v>
      </c>
      <c r="L29" s="29">
        <f t="shared" si="4"/>
        <v>573.19749999999999</v>
      </c>
      <c r="M29" s="29">
        <f t="shared" si="4"/>
        <v>662.50569444444443</v>
      </c>
      <c r="N29" s="29">
        <f t="shared" si="4"/>
        <v>759.7284166666667</v>
      </c>
      <c r="O29" s="29">
        <f t="shared" si="4"/>
        <v>865.61544444444439</v>
      </c>
      <c r="P29" s="29">
        <f t="shared" si="4"/>
        <v>980.86105555555559</v>
      </c>
      <c r="Q29" s="29">
        <f t="shared" si="4"/>
        <v>1106.6593888888888</v>
      </c>
      <c r="R29" s="29">
        <f t="shared" si="4"/>
        <v>1243.9546388888889</v>
      </c>
      <c r="S29" s="29">
        <f t="shared" si="4"/>
        <v>1393.9409444444443</v>
      </c>
      <c r="T29" s="29">
        <f t="shared" si="4"/>
        <v>1557.5624999999998</v>
      </c>
      <c r="U29" s="29">
        <f t="shared" si="4"/>
        <v>1736.2078611111112</v>
      </c>
      <c r="V29" s="29">
        <f t="shared" si="4"/>
        <v>1931.0711666666666</v>
      </c>
      <c r="W29" s="29">
        <f t="shared" si="4"/>
        <v>2143.7908888888887</v>
      </c>
      <c r="X29" s="29">
        <f t="shared" si="4"/>
        <v>2376.2554444444445</v>
      </c>
      <c r="Y29" s="29">
        <f t="shared" si="4"/>
        <v>2630.1033055555558</v>
      </c>
      <c r="Z29" s="29">
        <f t="shared" si="4"/>
        <v>2907.2228888888885</v>
      </c>
    </row>
    <row r="30" spans="2:26" x14ac:dyDescent="0.55000000000000004">
      <c r="B30" s="5" t="s">
        <v>554</v>
      </c>
      <c r="C30" s="29">
        <f t="shared" ref="C30:Z30" si="5">C19</f>
        <v>199.72</v>
      </c>
      <c r="D30" s="29">
        <f t="shared" si="5"/>
        <v>274.65999999999997</v>
      </c>
      <c r="E30" s="29">
        <f t="shared" si="5"/>
        <v>389.57</v>
      </c>
      <c r="F30" s="29">
        <f t="shared" si="5"/>
        <v>499.49</v>
      </c>
      <c r="G30" s="29">
        <f t="shared" si="5"/>
        <v>629.3900000000001</v>
      </c>
      <c r="H30" s="29">
        <f t="shared" si="5"/>
        <v>764.29</v>
      </c>
      <c r="I30" s="29">
        <f t="shared" si="5"/>
        <v>894.18999999999994</v>
      </c>
      <c r="J30" s="29">
        <f t="shared" si="5"/>
        <v>1059.07</v>
      </c>
      <c r="K30" s="29">
        <f t="shared" si="5"/>
        <v>1228.94</v>
      </c>
      <c r="L30" s="29">
        <f t="shared" si="5"/>
        <v>1438.78</v>
      </c>
      <c r="M30" s="29">
        <f t="shared" si="5"/>
        <v>1623.64</v>
      </c>
      <c r="N30" s="29">
        <f t="shared" si="5"/>
        <v>1848.47</v>
      </c>
      <c r="O30" s="29">
        <f t="shared" si="5"/>
        <v>2113.27</v>
      </c>
      <c r="P30" s="29">
        <f t="shared" si="5"/>
        <v>2368.08</v>
      </c>
      <c r="Q30" s="29">
        <f t="shared" si="5"/>
        <v>2672.8500000000004</v>
      </c>
      <c r="R30" s="29">
        <f t="shared" si="5"/>
        <v>2972.62</v>
      </c>
      <c r="S30" s="29">
        <f t="shared" si="5"/>
        <v>3327.35</v>
      </c>
      <c r="T30" s="29">
        <f t="shared" si="5"/>
        <v>3707.06</v>
      </c>
      <c r="U30" s="29">
        <f t="shared" si="5"/>
        <v>4136.7400000000007</v>
      </c>
      <c r="V30" s="29">
        <f t="shared" si="5"/>
        <v>4586.3999999999996</v>
      </c>
      <c r="W30" s="29">
        <f t="shared" si="5"/>
        <v>5096.01</v>
      </c>
      <c r="X30" s="29">
        <f t="shared" si="5"/>
        <v>5620.61</v>
      </c>
      <c r="Y30" s="29">
        <f t="shared" si="5"/>
        <v>6240.1399999999994</v>
      </c>
      <c r="Z30" s="29">
        <f t="shared" si="5"/>
        <v>6874.66</v>
      </c>
    </row>
    <row r="31" spans="2:26" x14ac:dyDescent="0.55000000000000004">
      <c r="B31" s="58" t="s">
        <v>559</v>
      </c>
      <c r="C31" s="60">
        <f t="shared" ref="C31:Z31" si="6">C29+C30</f>
        <v>237.62569444444443</v>
      </c>
      <c r="D31" s="60">
        <f t="shared" si="6"/>
        <v>353.85933333333332</v>
      </c>
      <c r="E31" s="60">
        <f t="shared" si="6"/>
        <v>513.70083333333332</v>
      </c>
      <c r="F31" s="60">
        <f t="shared" si="6"/>
        <v>672.4401388888889</v>
      </c>
      <c r="G31" s="60">
        <f t="shared" si="6"/>
        <v>855.49158333333344</v>
      </c>
      <c r="H31" s="60">
        <f t="shared" si="6"/>
        <v>1048.3750277777776</v>
      </c>
      <c r="I31" s="60">
        <f t="shared" si="6"/>
        <v>1241.3403888888888</v>
      </c>
      <c r="J31" s="60">
        <f t="shared" si="6"/>
        <v>1475.0619444444444</v>
      </c>
      <c r="K31" s="60">
        <f t="shared" si="6"/>
        <v>1720.0495555555556</v>
      </c>
      <c r="L31" s="60">
        <f t="shared" si="6"/>
        <v>2011.9775</v>
      </c>
      <c r="M31" s="60">
        <f t="shared" si="6"/>
        <v>2286.1456944444444</v>
      </c>
      <c r="N31" s="60">
        <f t="shared" si="6"/>
        <v>2608.1984166666666</v>
      </c>
      <c r="O31" s="60">
        <f t="shared" si="6"/>
        <v>2978.8854444444441</v>
      </c>
      <c r="P31" s="60">
        <f t="shared" si="6"/>
        <v>3348.9410555555555</v>
      </c>
      <c r="Q31" s="60">
        <f t="shared" si="6"/>
        <v>3779.5093888888891</v>
      </c>
      <c r="R31" s="60">
        <f t="shared" si="6"/>
        <v>4216.5746388888892</v>
      </c>
      <c r="S31" s="60">
        <f t="shared" si="6"/>
        <v>4721.290944444444</v>
      </c>
      <c r="T31" s="60">
        <f t="shared" si="6"/>
        <v>5264.6224999999995</v>
      </c>
      <c r="U31" s="60">
        <f t="shared" si="6"/>
        <v>5872.9478611111117</v>
      </c>
      <c r="V31" s="60">
        <f t="shared" si="6"/>
        <v>6517.4711666666662</v>
      </c>
      <c r="W31" s="60">
        <f t="shared" si="6"/>
        <v>7239.8008888888889</v>
      </c>
      <c r="X31" s="60">
        <f t="shared" si="6"/>
        <v>7996.8654444444437</v>
      </c>
      <c r="Y31" s="60">
        <f t="shared" si="6"/>
        <v>8870.2433055555557</v>
      </c>
      <c r="Z31" s="60">
        <f t="shared" si="6"/>
        <v>9781.8828888888893</v>
      </c>
    </row>
    <row r="33" spans="2:26" ht="16.8" x14ac:dyDescent="0.65">
      <c r="B33" s="3" t="s">
        <v>560</v>
      </c>
    </row>
    <row r="34" spans="2:26" x14ac:dyDescent="0.55000000000000004">
      <c r="B34" s="30" t="s">
        <v>561</v>
      </c>
      <c r="C34" s="31">
        <f t="shared" ref="C34:Z34" si="7">C20</f>
        <v>6048.170000000001</v>
      </c>
      <c r="D34" s="31">
        <f t="shared" si="7"/>
        <v>6682.9699999999993</v>
      </c>
      <c r="E34" s="31">
        <f t="shared" si="7"/>
        <v>7387.73</v>
      </c>
      <c r="F34" s="31">
        <f t="shared" si="7"/>
        <v>8132.49</v>
      </c>
      <c r="G34" s="31">
        <f t="shared" si="7"/>
        <v>8997.2099999999991</v>
      </c>
      <c r="H34" s="31">
        <f t="shared" si="7"/>
        <v>9941.91</v>
      </c>
      <c r="I34" s="31">
        <f t="shared" si="7"/>
        <v>10911.6</v>
      </c>
      <c r="J34" s="31">
        <f t="shared" si="7"/>
        <v>12061.24</v>
      </c>
      <c r="K34" s="31">
        <f t="shared" si="7"/>
        <v>13290.85</v>
      </c>
      <c r="L34" s="31">
        <f t="shared" si="7"/>
        <v>14705.4</v>
      </c>
      <c r="M34" s="31">
        <f t="shared" si="7"/>
        <v>16124.96</v>
      </c>
      <c r="N34" s="31">
        <f t="shared" si="7"/>
        <v>17729.46</v>
      </c>
      <c r="O34" s="31">
        <f t="shared" si="7"/>
        <v>19478.899999999998</v>
      </c>
      <c r="P34" s="31">
        <f t="shared" si="7"/>
        <v>21363.32</v>
      </c>
      <c r="Q34" s="31">
        <f t="shared" si="7"/>
        <v>23517.65</v>
      </c>
      <c r="R34" s="31">
        <f t="shared" si="7"/>
        <v>25841.94</v>
      </c>
      <c r="S34" s="31">
        <f t="shared" si="7"/>
        <v>28441.14</v>
      </c>
      <c r="T34" s="31">
        <f t="shared" si="7"/>
        <v>31240.28</v>
      </c>
      <c r="U34" s="31">
        <f t="shared" si="7"/>
        <v>34379.33</v>
      </c>
      <c r="V34" s="31">
        <f t="shared" si="7"/>
        <v>37758.31</v>
      </c>
      <c r="W34" s="31">
        <f t="shared" si="7"/>
        <v>41517.17</v>
      </c>
      <c r="X34" s="31">
        <f t="shared" si="7"/>
        <v>45655.939999999995</v>
      </c>
      <c r="Y34" s="31">
        <f t="shared" si="7"/>
        <v>50209.57</v>
      </c>
      <c r="Z34" s="31">
        <f t="shared" si="7"/>
        <v>55143.11</v>
      </c>
    </row>
    <row r="35" spans="2:26" x14ac:dyDescent="0.55000000000000004">
      <c r="B35" s="57" t="s">
        <v>562</v>
      </c>
      <c r="C35" s="17">
        <f t="shared" ref="C35:Z35" si="8">C26</f>
        <v>2260.4498543641366</v>
      </c>
      <c r="D35" s="17">
        <f t="shared" si="8"/>
        <v>2546.3987955572848</v>
      </c>
      <c r="E35" s="17">
        <f t="shared" si="8"/>
        <v>2887.48373302862</v>
      </c>
      <c r="F35" s="17">
        <f t="shared" si="8"/>
        <v>3239.3556959549542</v>
      </c>
      <c r="G35" s="17">
        <f t="shared" si="8"/>
        <v>3641.3761575304088</v>
      </c>
      <c r="H35" s="17">
        <f t="shared" si="8"/>
        <v>4077.6588156970138</v>
      </c>
      <c r="I35" s="17">
        <f t="shared" si="8"/>
        <v>4525.041591046157</v>
      </c>
      <c r="J35" s="17">
        <f t="shared" si="8"/>
        <v>5051.8117341226016</v>
      </c>
      <c r="K35" s="17">
        <f t="shared" si="8"/>
        <v>5613.7681946945504</v>
      </c>
      <c r="L35" s="17">
        <f t="shared" si="8"/>
        <v>6260.8934751329316</v>
      </c>
      <c r="M35" s="17">
        <f t="shared" si="8"/>
        <v>6900.5457478553053</v>
      </c>
      <c r="N35" s="17">
        <f t="shared" si="8"/>
        <v>7625.9822634064358</v>
      </c>
      <c r="O35" s="17">
        <f t="shared" si="8"/>
        <v>8436.0043884935712</v>
      </c>
      <c r="P35" s="17">
        <f t="shared" si="8"/>
        <v>9282.7848773138121</v>
      </c>
      <c r="Q35" s="17">
        <f t="shared" si="8"/>
        <v>10253.239678353955</v>
      </c>
      <c r="R35" s="17">
        <f t="shared" si="8"/>
        <v>11279.71946640249</v>
      </c>
      <c r="S35" s="17">
        <f t="shared" si="8"/>
        <v>12436.280441772378</v>
      </c>
      <c r="T35" s="17">
        <f t="shared" si="8"/>
        <v>13680.253279252114</v>
      </c>
      <c r="U35" s="17">
        <f t="shared" si="8"/>
        <v>15065.407983583562</v>
      </c>
      <c r="V35" s="17">
        <f t="shared" si="8"/>
        <v>16548.016258732023</v>
      </c>
      <c r="W35" s="17">
        <f t="shared" si="8"/>
        <v>18196.535778204587</v>
      </c>
      <c r="X35" s="17">
        <f t="shared" si="8"/>
        <v>19980.575496511312</v>
      </c>
      <c r="Y35" s="17">
        <f t="shared" si="8"/>
        <v>21967.858842637805</v>
      </c>
      <c r="Z35" s="17">
        <f t="shared" si="8"/>
        <v>24093.014771094116</v>
      </c>
    </row>
    <row r="36" spans="2:26" x14ac:dyDescent="0.55000000000000004">
      <c r="B36" s="58" t="s">
        <v>563</v>
      </c>
      <c r="C36" s="60">
        <f t="shared" ref="C36:Z36" si="9">C31</f>
        <v>237.62569444444443</v>
      </c>
      <c r="D36" s="60">
        <f t="shared" si="9"/>
        <v>353.85933333333332</v>
      </c>
      <c r="E36" s="60">
        <f t="shared" si="9"/>
        <v>513.70083333333332</v>
      </c>
      <c r="F36" s="60">
        <f t="shared" si="9"/>
        <v>672.4401388888889</v>
      </c>
      <c r="G36" s="60">
        <f t="shared" si="9"/>
        <v>855.49158333333344</v>
      </c>
      <c r="H36" s="60">
        <f t="shared" si="9"/>
        <v>1048.3750277777776</v>
      </c>
      <c r="I36" s="60">
        <f t="shared" si="9"/>
        <v>1241.3403888888888</v>
      </c>
      <c r="J36" s="60">
        <f t="shared" si="9"/>
        <v>1475.0619444444444</v>
      </c>
      <c r="K36" s="60">
        <f t="shared" si="9"/>
        <v>1720.0495555555556</v>
      </c>
      <c r="L36" s="60">
        <f t="shared" si="9"/>
        <v>2011.9775</v>
      </c>
      <c r="M36" s="60">
        <f t="shared" si="9"/>
        <v>2286.1456944444444</v>
      </c>
      <c r="N36" s="60">
        <f t="shared" si="9"/>
        <v>2608.1984166666666</v>
      </c>
      <c r="O36" s="60">
        <f t="shared" si="9"/>
        <v>2978.8854444444441</v>
      </c>
      <c r="P36" s="60">
        <f t="shared" si="9"/>
        <v>3348.9410555555555</v>
      </c>
      <c r="Q36" s="60">
        <f t="shared" si="9"/>
        <v>3779.5093888888891</v>
      </c>
      <c r="R36" s="60">
        <f t="shared" si="9"/>
        <v>4216.5746388888892</v>
      </c>
      <c r="S36" s="60">
        <f t="shared" si="9"/>
        <v>4721.290944444444</v>
      </c>
      <c r="T36" s="60">
        <f t="shared" si="9"/>
        <v>5264.6224999999995</v>
      </c>
      <c r="U36" s="60">
        <f t="shared" si="9"/>
        <v>5872.9478611111117</v>
      </c>
      <c r="V36" s="60">
        <f t="shared" si="9"/>
        <v>6517.4711666666662</v>
      </c>
      <c r="W36" s="60">
        <f t="shared" si="9"/>
        <v>7239.8008888888889</v>
      </c>
      <c r="X36" s="60">
        <f t="shared" si="9"/>
        <v>7996.8654444444437</v>
      </c>
      <c r="Y36" s="60">
        <f t="shared" si="9"/>
        <v>8870.2433055555557</v>
      </c>
      <c r="Z36" s="60">
        <f t="shared" si="9"/>
        <v>9781.8828888888893</v>
      </c>
    </row>
    <row r="37" spans="2:26" x14ac:dyDescent="0.55000000000000004">
      <c r="B37" s="5" t="s">
        <v>564</v>
      </c>
      <c r="C37" s="29">
        <f t="shared" ref="C37:Z37" si="10">C34-C35</f>
        <v>3787.7201456358644</v>
      </c>
      <c r="D37" s="29">
        <f t="shared" si="10"/>
        <v>4136.5712044427146</v>
      </c>
      <c r="E37" s="29">
        <f t="shared" si="10"/>
        <v>4500.2462669713796</v>
      </c>
      <c r="F37" s="29">
        <f t="shared" si="10"/>
        <v>4893.1343040450456</v>
      </c>
      <c r="G37" s="29">
        <f t="shared" si="10"/>
        <v>5355.8338424695903</v>
      </c>
      <c r="H37" s="29">
        <f t="shared" si="10"/>
        <v>5864.2511843029861</v>
      </c>
      <c r="I37" s="29">
        <f t="shared" si="10"/>
        <v>6386.5584089538434</v>
      </c>
      <c r="J37" s="29">
        <f t="shared" si="10"/>
        <v>7009.4282658773982</v>
      </c>
      <c r="K37" s="29">
        <f t="shared" si="10"/>
        <v>7677.08180530545</v>
      </c>
      <c r="L37" s="29">
        <f t="shared" si="10"/>
        <v>8444.5065248670689</v>
      </c>
      <c r="M37" s="29">
        <f t="shared" si="10"/>
        <v>9224.4142521446938</v>
      </c>
      <c r="N37" s="29">
        <f t="shared" si="10"/>
        <v>10103.477736593562</v>
      </c>
      <c r="O37" s="29">
        <f t="shared" si="10"/>
        <v>11042.895611506427</v>
      </c>
      <c r="P37" s="29">
        <f t="shared" si="10"/>
        <v>12080.535122686188</v>
      </c>
      <c r="Q37" s="29">
        <f t="shared" si="10"/>
        <v>13264.410321646046</v>
      </c>
      <c r="R37" s="29">
        <f t="shared" si="10"/>
        <v>14562.220533597509</v>
      </c>
      <c r="S37" s="29">
        <f t="shared" si="10"/>
        <v>16004.859558227621</v>
      </c>
      <c r="T37" s="29">
        <f t="shared" si="10"/>
        <v>17560.026720747883</v>
      </c>
      <c r="U37" s="29">
        <f t="shared" si="10"/>
        <v>19313.92201641644</v>
      </c>
      <c r="V37" s="29">
        <f t="shared" si="10"/>
        <v>21210.293741267975</v>
      </c>
      <c r="W37" s="29">
        <f t="shared" si="10"/>
        <v>23320.634221795412</v>
      </c>
      <c r="X37" s="29">
        <f t="shared" si="10"/>
        <v>25675.364503488683</v>
      </c>
      <c r="Y37" s="29">
        <f t="shared" si="10"/>
        <v>28241.711157362195</v>
      </c>
      <c r="Z37" s="29">
        <f t="shared" si="10"/>
        <v>31050.095228905884</v>
      </c>
    </row>
    <row r="38" spans="2:26" x14ac:dyDescent="0.55000000000000004">
      <c r="B38" s="5" t="s">
        <v>565</v>
      </c>
      <c r="C38" s="29">
        <f t="shared" ref="C38:Z38" si="11">C34-C36</f>
        <v>5810.544305555557</v>
      </c>
      <c r="D38" s="29">
        <f t="shared" si="11"/>
        <v>6329.1106666666656</v>
      </c>
      <c r="E38" s="29">
        <f t="shared" si="11"/>
        <v>6874.0291666666662</v>
      </c>
      <c r="F38" s="29">
        <f t="shared" si="11"/>
        <v>7460.0498611111107</v>
      </c>
      <c r="G38" s="29">
        <f t="shared" si="11"/>
        <v>8141.7184166666657</v>
      </c>
      <c r="H38" s="29">
        <f t="shared" si="11"/>
        <v>8893.5349722222218</v>
      </c>
      <c r="I38" s="29">
        <f t="shared" si="11"/>
        <v>9670.2596111111125</v>
      </c>
      <c r="J38" s="29">
        <f t="shared" si="11"/>
        <v>10586.178055555556</v>
      </c>
      <c r="K38" s="29">
        <f t="shared" si="11"/>
        <v>11570.800444444445</v>
      </c>
      <c r="L38" s="29">
        <f t="shared" si="11"/>
        <v>12693.422500000001</v>
      </c>
      <c r="M38" s="29">
        <f t="shared" si="11"/>
        <v>13838.814305555556</v>
      </c>
      <c r="N38" s="29">
        <f t="shared" si="11"/>
        <v>15121.261583333333</v>
      </c>
      <c r="O38" s="29">
        <f t="shared" si="11"/>
        <v>16500.014555555554</v>
      </c>
      <c r="P38" s="29">
        <f t="shared" si="11"/>
        <v>18014.378944444445</v>
      </c>
      <c r="Q38" s="29">
        <f t="shared" si="11"/>
        <v>19738.140611111114</v>
      </c>
      <c r="R38" s="29">
        <f t="shared" si="11"/>
        <v>21625.365361111108</v>
      </c>
      <c r="S38" s="29">
        <f t="shared" si="11"/>
        <v>23719.849055555555</v>
      </c>
      <c r="T38" s="29">
        <f t="shared" si="11"/>
        <v>25975.657500000001</v>
      </c>
      <c r="U38" s="29">
        <f t="shared" si="11"/>
        <v>28506.38213888889</v>
      </c>
      <c r="V38" s="29">
        <f t="shared" si="11"/>
        <v>31240.838833333331</v>
      </c>
      <c r="W38" s="29">
        <f t="shared" si="11"/>
        <v>34277.369111111111</v>
      </c>
      <c r="X38" s="29">
        <f t="shared" si="11"/>
        <v>37659.074555555548</v>
      </c>
      <c r="Y38" s="29">
        <f t="shared" si="11"/>
        <v>41339.326694444448</v>
      </c>
      <c r="Z38" s="29">
        <f t="shared" si="11"/>
        <v>45361.227111111111</v>
      </c>
    </row>
    <row r="40" spans="2:26" ht="16.8" x14ac:dyDescent="0.65">
      <c r="B40" s="3" t="s">
        <v>566</v>
      </c>
      <c r="F40" s="10" t="s">
        <v>567</v>
      </c>
    </row>
    <row r="42" spans="2:26" x14ac:dyDescent="0.55000000000000004">
      <c r="B42" s="57" t="s">
        <v>568</v>
      </c>
      <c r="C42" s="61"/>
      <c r="D42" s="61"/>
      <c r="E42" s="61"/>
      <c r="F42" s="62" t="s">
        <v>569</v>
      </c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2:26" x14ac:dyDescent="0.55000000000000004">
      <c r="B43" s="5" t="s">
        <v>570</v>
      </c>
      <c r="C43" s="29">
        <f>'24-Month Projections'!C6*$C$10+'24-Month Projections'!C7*$D$10+'24-Month Projections'!C8*$E$10</f>
        <v>3811.3390330562429</v>
      </c>
      <c r="D43" s="29">
        <f>'24-Month Projections'!D6*$C$10+'24-Month Projections'!D7*$D$10+'24-Month Projections'!D8*$E$10</f>
        <v>4185.962558622613</v>
      </c>
      <c r="E43" s="29">
        <f>'24-Month Projections'!E6*$C$10+'24-Month Projections'!E7*$D$10+'24-Month Projections'!E8*$E$10</f>
        <v>4577.7063360151533</v>
      </c>
      <c r="F43" s="29">
        <f>'24-Month Projections'!F6*$C$10+'24-Month Projections'!F7*$D$10+'24-Month Projections'!F8*$E$10</f>
        <v>5001.1353652338621</v>
      </c>
      <c r="G43" s="29">
        <f>'24-Month Projections'!G6*$C$10+'24-Month Projections'!G7*$D$10+'24-Month Projections'!G8*$E$10</f>
        <v>5497.1448981049098</v>
      </c>
      <c r="H43" s="29">
        <f>'24-Month Projections'!H6*$C$10+'24-Month Projections'!H7*$D$10+'24-Month Projections'!H8*$E$10</f>
        <v>6041.9599346282957</v>
      </c>
      <c r="I43" s="29">
        <f>'24-Month Projections'!I6*$C$10+'24-Month Projections'!I7*$D$10+'24-Month Projections'!I8*$E$10</f>
        <v>6603.8952229778515</v>
      </c>
      <c r="J43" s="29">
        <f>'24-Month Projections'!J6*$C$10+'24-Month Projections'!J7*$D$10+'24-Month Projections'!J8*$E$10</f>
        <v>7270.0962668059146</v>
      </c>
      <c r="K43" s="29">
        <f>'24-Month Projections'!K6*$C$10+'24-Month Projections'!K7*$D$10+'24-Month Projections'!K8*$E$10</f>
        <v>7985.102814286317</v>
      </c>
      <c r="L43" s="29">
        <f>'24-Month Projections'!L6*$C$10+'24-Month Projections'!L7*$D$10+'24-Month Projections'!L8*$E$10</f>
        <v>8804.3751172452266</v>
      </c>
      <c r="M43" s="29">
        <f>'24-Month Projections'!M6*$C$10+'24-Month Projections'!M7*$D$10+'24-Month Projections'!M8*$E$10</f>
        <v>9640.7676720303061</v>
      </c>
      <c r="N43" s="29">
        <f>'24-Month Projections'!N6*$C$10+'24-Month Projections'!N7*$D$10+'24-Month Projections'!N8*$E$10</f>
        <v>10581.425982293893</v>
      </c>
      <c r="O43" s="29">
        <f>'24-Month Projections'!O6*$C$10+'24-Month Projections'!O7*$D$10+'24-Month Projections'!O8*$E$10</f>
        <v>11588.010048035989</v>
      </c>
      <c r="P43" s="29">
        <f>'24-Month Projections'!P6*$C$10+'24-Month Projections'!P7*$D$10+'24-Month Projections'!P8*$E$10</f>
        <v>12698.859869256592</v>
      </c>
      <c r="Q43" s="29">
        <f>'24-Month Projections'!Q6*$C$10+'24-Month Projections'!Q7*$D$10+'24-Month Projections'!Q8*$E$10</f>
        <v>13962.780949608041</v>
      </c>
      <c r="R43" s="29">
        <f>'24-Month Projections'!R6*$C$10+'24-Month Projections'!R7*$D$10+'24-Month Projections'!R8*$E$10</f>
        <v>15348.088037264168</v>
      </c>
      <c r="S43" s="29">
        <f>'24-Month Projections'!S6*$C$10+'24-Month Projections'!S7*$D$10+'24-Month Projections'!S8*$E$10</f>
        <v>16886.466384051142</v>
      </c>
      <c r="T43" s="29">
        <f>'24-Month Projections'!T6*$C$10+'24-Month Projections'!T7*$D$10+'24-Month Projections'!T8*$E$10</f>
        <v>18546.230738142793</v>
      </c>
      <c r="U43" s="29">
        <f>'24-Month Projections'!U6*$C$10+'24-Month Projections'!U7*$D$10+'24-Month Projections'!U8*$E$10</f>
        <v>20414.526603191458</v>
      </c>
      <c r="V43" s="29">
        <f>'24-Month Projections'!V6*$C$10+'24-Month Projections'!V7*$D$10+'24-Month Projections'!V8*$E$10</f>
        <v>22435.893727370971</v>
      </c>
      <c r="W43" s="29">
        <f>'24-Month Projections'!W6*$C$10+'24-Month Projections'!W7*$D$10+'24-Month Projections'!W8*$E$10</f>
        <v>24682.912614333669</v>
      </c>
      <c r="X43" s="29">
        <f>'24-Month Projections'!X6*$C$10+'24-Month Projections'!X7*$D$10+'24-Month Projections'!X8*$E$10</f>
        <v>27187.268515905722</v>
      </c>
      <c r="Y43" s="29">
        <f>'24-Month Projections'!Y6*$C$10+'24-Month Projections'!Y7*$D$10+'24-Month Projections'!Y8*$E$10</f>
        <v>29917.27618026096</v>
      </c>
      <c r="Z43" s="29">
        <f>'24-Month Projections'!Z6*$C$10+'24-Month Projections'!Z7*$D$10+'24-Month Projections'!Z8*$E$10</f>
        <v>32904.620859225557</v>
      </c>
    </row>
    <row r="44" spans="2:26" x14ac:dyDescent="0.55000000000000004">
      <c r="B44" s="5" t="s">
        <v>571</v>
      </c>
      <c r="C44" s="29">
        <f t="shared" ref="C44:Z44" si="12">C24</f>
        <v>23.618887420380215</v>
      </c>
      <c r="D44" s="29">
        <f t="shared" si="12"/>
        <v>49.391354179898634</v>
      </c>
      <c r="E44" s="29">
        <f t="shared" si="12"/>
        <v>77.460069043773359</v>
      </c>
      <c r="F44" s="29">
        <f t="shared" si="12"/>
        <v>108.00106118881641</v>
      </c>
      <c r="G44" s="29">
        <f t="shared" si="12"/>
        <v>141.31105563531858</v>
      </c>
      <c r="H44" s="29">
        <f t="shared" si="12"/>
        <v>177.70875032531001</v>
      </c>
      <c r="I44" s="29">
        <f t="shared" si="12"/>
        <v>217.33681402400873</v>
      </c>
      <c r="J44" s="29">
        <f t="shared" si="12"/>
        <v>260.66800092851759</v>
      </c>
      <c r="K44" s="29">
        <f t="shared" si="12"/>
        <v>308.02100898086672</v>
      </c>
      <c r="L44" s="29">
        <f t="shared" si="12"/>
        <v>359.86859237815895</v>
      </c>
      <c r="M44" s="29">
        <f t="shared" si="12"/>
        <v>416.35341988561237</v>
      </c>
      <c r="N44" s="29">
        <f t="shared" si="12"/>
        <v>477.94824570032978</v>
      </c>
      <c r="O44" s="29">
        <f t="shared" si="12"/>
        <v>545.11443652955938</v>
      </c>
      <c r="P44" s="29">
        <f t="shared" si="12"/>
        <v>618.32474657040393</v>
      </c>
      <c r="Q44" s="29">
        <f t="shared" si="12"/>
        <v>698.37062796199643</v>
      </c>
      <c r="R44" s="29">
        <f t="shared" si="12"/>
        <v>785.86750366665808</v>
      </c>
      <c r="S44" s="29">
        <f t="shared" si="12"/>
        <v>881.60682582352126</v>
      </c>
      <c r="T44" s="29">
        <f t="shared" si="12"/>
        <v>986.20401739490717</v>
      </c>
      <c r="U44" s="29">
        <f t="shared" si="12"/>
        <v>1100.6045867750217</v>
      </c>
      <c r="V44" s="29">
        <f t="shared" si="12"/>
        <v>1225.5999861029975</v>
      </c>
      <c r="W44" s="29">
        <f t="shared" si="12"/>
        <v>1362.278392538258</v>
      </c>
      <c r="X44" s="29">
        <f t="shared" si="12"/>
        <v>1511.9040124170394</v>
      </c>
      <c r="Y44" s="29">
        <f t="shared" si="12"/>
        <v>1675.5650228987656</v>
      </c>
      <c r="Z44" s="29">
        <f t="shared" si="12"/>
        <v>1854.525630319672</v>
      </c>
    </row>
    <row r="45" spans="2:26" x14ac:dyDescent="0.55000000000000004">
      <c r="B45" s="5" t="s">
        <v>572</v>
      </c>
      <c r="C45" s="29">
        <f>IF('24-Month Projections'!C9&gt;0, '24-Month Projections'!C88*(C43/'24-Month Projections'!C9), 0)</f>
        <v>221.30355675810443</v>
      </c>
      <c r="D45" s="29">
        <f>IF('24-Month Projections'!D9&gt;0, '24-Month Projections'!D88*(D43/'24-Month Projections'!D9), 0)</f>
        <v>247.69009222619013</v>
      </c>
      <c r="E45" s="29">
        <f>IF('24-Month Projections'!E9&gt;0, '24-Month Projections'!E88*(E43/'24-Month Projections'!E9), 0)</f>
        <v>273.66722660960158</v>
      </c>
      <c r="F45" s="29">
        <f>IF('24-Month Projections'!F9&gt;0, '24-Month Projections'!F88*(F43/'24-Month Projections'!F9), 0)</f>
        <v>300.06812191403174</v>
      </c>
      <c r="G45" s="29">
        <f>IF('24-Month Projections'!G9&gt;0, '24-Month Projections'!G88*(G43/'24-Month Projections'!G9), 0)</f>
        <v>327.81139300625608</v>
      </c>
      <c r="H45" s="29">
        <f>IF('24-Month Projections'!H9&gt;0, '24-Month Projections'!H88*(H43/'24-Month Projections'!H9), 0)</f>
        <v>355.40940791931155</v>
      </c>
      <c r="I45" s="29">
        <f>IF('24-Month Projections'!I9&gt;0, '24-Month Projections'!I88*(I43/'24-Month Projections'!I9), 0)</f>
        <v>407.96263925731904</v>
      </c>
      <c r="J45" s="29">
        <f>IF('24-Month Projections'!J9&gt;0, '24-Month Projections'!J88*(J43/'24-Month Projections'!J9), 0)</f>
        <v>436.71956373039063</v>
      </c>
      <c r="K45" s="29">
        <f>IF('24-Month Projections'!K9&gt;0, '24-Month Projections'!K88*(K43/'24-Month Projections'!K9), 0)</f>
        <v>490.99337693022659</v>
      </c>
      <c r="L45" s="29">
        <f>IF('24-Month Projections'!L9&gt;0, '24-Month Projections'!L88*(L43/'24-Month Projections'!L9), 0)</f>
        <v>520.96894184883001</v>
      </c>
      <c r="M45" s="29">
        <f>IF('24-Month Projections'!M9&gt;0, '24-Month Projections'!M88*(M43/'24-Month Projections'!M9), 0)</f>
        <v>576.35024126268138</v>
      </c>
      <c r="N45" s="29">
        <f>IF('24-Month Projections'!N9&gt;0, '24-Month Projections'!N88*(N43/'24-Month Projections'!N9), 0)</f>
        <v>633.30230317968437</v>
      </c>
      <c r="O45" s="29">
        <f>IF('24-Month Projections'!O9&gt;0, '24-Month Projections'!O88*(O43/'24-Month Projections'!O9), 0)</f>
        <v>689.44682207994435</v>
      </c>
      <c r="P45" s="29">
        <f>IF('24-Month Projections'!P9&gt;0, '24-Month Projections'!P88*(P43/'24-Month Projections'!P9), 0)</f>
        <v>773.67003405134699</v>
      </c>
      <c r="Q45" s="29">
        <f>IF('24-Month Projections'!Q9&gt;0, '24-Month Projections'!Q88*(Q43/'24-Month Projections'!Q9), 0)</f>
        <v>832.39655661124857</v>
      </c>
      <c r="R45" s="29">
        <f>IF('24-Month Projections'!R9&gt;0, '24-Month Projections'!R88*(R43/'24-Month Projections'!R9), 0)</f>
        <v>918.7235796953903</v>
      </c>
      <c r="S45" s="29">
        <f>IF('24-Month Projections'!S9&gt;0, '24-Month Projections'!S88*(S43/'24-Month Projections'!S9), 0)</f>
        <v>1006.1179649112597</v>
      </c>
      <c r="T45" s="29">
        <f>IF('24-Month Projections'!T9&gt;0, '24-Month Projections'!T88*(T43/'24-Month Projections'!T9), 0)</f>
        <v>1121.5272275278091</v>
      </c>
      <c r="U45" s="29">
        <f>IF('24-Month Projections'!U9&gt;0, '24-Month Projections'!U88*(U43/'24-Month Projections'!U9), 0)</f>
        <v>1212.198610715822</v>
      </c>
      <c r="V45" s="29">
        <f>IF('24-Month Projections'!V9&gt;0, '24-Month Projections'!V88*(V43/'24-Month Projections'!V9), 0)</f>
        <v>1358.9107449211094</v>
      </c>
      <c r="W45" s="29">
        <f>IF('24-Month Projections'!W9&gt;0, '24-Month Projections'!W88*(W43/'24-Month Projections'!W9), 0)</f>
        <v>1479.8578829860683</v>
      </c>
      <c r="X45" s="29">
        <f>IF('24-Month Projections'!X9&gt;0, '24-Month Projections'!X88*(X43/'24-Month Projections'!X9), 0)</f>
        <v>1630.6738096406741</v>
      </c>
      <c r="Y45" s="29">
        <f>IF('24-Month Projections'!Y9&gt;0, '24-Month Projections'!Y88*(Y43/'24-Month Projections'!Y9), 0)</f>
        <v>1783.1489114062824</v>
      </c>
      <c r="Z45" s="29">
        <f>IF('24-Month Projections'!Z9&gt;0, '24-Month Projections'!Z88*(Z43/'24-Month Projections'!Z9), 0)</f>
        <v>1965.7305967849036</v>
      </c>
    </row>
    <row r="46" spans="2:26" x14ac:dyDescent="0.55000000000000004">
      <c r="B46" s="57" t="s">
        <v>573</v>
      </c>
      <c r="C46" s="17">
        <f>C43-C44-C45</f>
        <v>3566.4165888777579</v>
      </c>
      <c r="D46" s="17">
        <f t="shared" ref="D46:Z46" si="13">C46+D43-D44-D45</f>
        <v>7455.2977010942823</v>
      </c>
      <c r="E46" s="17">
        <f t="shared" si="13"/>
        <v>11681.876741456063</v>
      </c>
      <c r="F46" s="17">
        <f t="shared" si="13"/>
        <v>16274.942923587074</v>
      </c>
      <c r="G46" s="17">
        <f t="shared" si="13"/>
        <v>21302.965373050407</v>
      </c>
      <c r="H46" s="17">
        <f t="shared" si="13"/>
        <v>26811.80714943408</v>
      </c>
      <c r="I46" s="17">
        <f t="shared" si="13"/>
        <v>32790.402919130611</v>
      </c>
      <c r="J46" s="17">
        <f t="shared" si="13"/>
        <v>39363.111621277618</v>
      </c>
      <c r="K46" s="17">
        <f t="shared" si="13"/>
        <v>46549.200049652834</v>
      </c>
      <c r="L46" s="17">
        <f t="shared" si="13"/>
        <v>54472.737632671073</v>
      </c>
      <c r="M46" s="17">
        <f t="shared" si="13"/>
        <v>63120.801643553081</v>
      </c>
      <c r="N46" s="17">
        <f t="shared" si="13"/>
        <v>72590.977076966956</v>
      </c>
      <c r="O46" s="17">
        <f t="shared" si="13"/>
        <v>82944.425866393431</v>
      </c>
      <c r="P46" s="17">
        <f t="shared" si="13"/>
        <v>94251.290955028264</v>
      </c>
      <c r="Q46" s="17">
        <f t="shared" si="13"/>
        <v>106683.30472006307</v>
      </c>
      <c r="R46" s="17">
        <f t="shared" si="13"/>
        <v>120326.80167396519</v>
      </c>
      <c r="S46" s="17">
        <f t="shared" si="13"/>
        <v>135325.54326728158</v>
      </c>
      <c r="T46" s="17">
        <f t="shared" si="13"/>
        <v>151764.04276050164</v>
      </c>
      <c r="U46" s="17">
        <f t="shared" si="13"/>
        <v>169865.76616620223</v>
      </c>
      <c r="V46" s="17">
        <f t="shared" si="13"/>
        <v>189717.14916254912</v>
      </c>
      <c r="W46" s="17">
        <f t="shared" si="13"/>
        <v>211557.92550135846</v>
      </c>
      <c r="X46" s="17">
        <f t="shared" si="13"/>
        <v>235602.61619520647</v>
      </c>
      <c r="Y46" s="17">
        <f t="shared" si="13"/>
        <v>262061.1784411624</v>
      </c>
      <c r="Z46" s="17">
        <f t="shared" si="13"/>
        <v>291145.54307328339</v>
      </c>
    </row>
    <row r="48" spans="2:26" x14ac:dyDescent="0.55000000000000004">
      <c r="B48" s="58" t="s">
        <v>574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2:26" x14ac:dyDescent="0.55000000000000004">
      <c r="B49" s="5" t="s">
        <v>575</v>
      </c>
      <c r="C49" s="29">
        <f>'24-Month Projections'!C6*$C$7+'24-Month Projections'!C7*$D$7+'24-Month Projections'!C8*$E$7</f>
        <v>5848.4500000000007</v>
      </c>
      <c r="D49" s="29">
        <f>'24-Month Projections'!D6*$C$7+'24-Month Projections'!D7*$D$7+'24-Month Projections'!D8*$E$7</f>
        <v>6408.3099999999995</v>
      </c>
      <c r="E49" s="29">
        <f>'24-Month Projections'!E6*$C$7+'24-Month Projections'!E7*$D$7+'24-Month Projections'!E8*$E$7</f>
        <v>6998.16</v>
      </c>
      <c r="F49" s="29">
        <f>'24-Month Projections'!F6*$C$7+'24-Month Projections'!F7*$D$7+'24-Month Projections'!F8*$E$7</f>
        <v>7633</v>
      </c>
      <c r="G49" s="29">
        <f>'24-Month Projections'!G6*$C$7+'24-Month Projections'!G7*$D$7+'24-Month Projections'!G8*$E$7</f>
        <v>8367.82</v>
      </c>
      <c r="H49" s="29">
        <f>'24-Month Projections'!H6*$C$7+'24-Month Projections'!H7*$D$7+'24-Month Projections'!H8*$E$7</f>
        <v>9177.619999999999</v>
      </c>
      <c r="I49" s="29">
        <f>'24-Month Projections'!I6*$C$7+'24-Month Projections'!I7*$D$7+'24-Month Projections'!I8*$E$7</f>
        <v>10017.41</v>
      </c>
      <c r="J49" s="29">
        <f>'24-Month Projections'!J6*$C$7+'24-Month Projections'!J7*$D$7+'24-Month Projections'!J8*$E$7</f>
        <v>11002.17</v>
      </c>
      <c r="K49" s="29">
        <f>'24-Month Projections'!K6*$C$7+'24-Month Projections'!K7*$D$7+'24-Month Projections'!K8*$E$7</f>
        <v>12061.91</v>
      </c>
      <c r="L49" s="29">
        <f>'24-Month Projections'!L6*$C$7+'24-Month Projections'!L7*$D$7+'24-Month Projections'!L8*$E$7</f>
        <v>13266.619999999999</v>
      </c>
      <c r="M49" s="29">
        <f>'24-Month Projections'!M6*$C$7+'24-Month Projections'!M7*$D$7+'24-Month Projections'!M8*$E$7</f>
        <v>14501.32</v>
      </c>
      <c r="N49" s="29">
        <f>'24-Month Projections'!N6*$C$7+'24-Month Projections'!N7*$D$7+'24-Month Projections'!N8*$E$7</f>
        <v>15880.989999999998</v>
      </c>
      <c r="O49" s="29">
        <f>'24-Month Projections'!O6*$C$7+'24-Month Projections'!O7*$D$7+'24-Month Projections'!O8*$E$7</f>
        <v>17365.629999999997</v>
      </c>
      <c r="P49" s="29">
        <f>'24-Month Projections'!P6*$C$7+'24-Month Projections'!P7*$D$7+'24-Month Projections'!P8*$E$7</f>
        <v>18995.239999999998</v>
      </c>
      <c r="Q49" s="29">
        <f>'24-Month Projections'!Q6*$C$7+'24-Month Projections'!Q7*$D$7+'24-Month Projections'!Q8*$E$7</f>
        <v>20844.8</v>
      </c>
      <c r="R49" s="29">
        <f>'24-Month Projections'!R6*$C$7+'24-Month Projections'!R7*$D$7+'24-Month Projections'!R8*$E$7</f>
        <v>22869.32</v>
      </c>
      <c r="S49" s="29">
        <f>'24-Month Projections'!S6*$C$7+'24-Month Projections'!S7*$D$7+'24-Month Projections'!S8*$E$7</f>
        <v>25113.79</v>
      </c>
      <c r="T49" s="29">
        <f>'24-Month Projections'!T6*$C$7+'24-Month Projections'!T7*$D$7+'24-Month Projections'!T8*$E$7</f>
        <v>27533.219999999998</v>
      </c>
      <c r="U49" s="29">
        <f>'24-Month Projections'!U6*$C$7+'24-Month Projections'!U7*$D$7+'24-Month Projections'!U8*$E$7</f>
        <v>30242.59</v>
      </c>
      <c r="V49" s="29">
        <f>'24-Month Projections'!V6*$C$7+'24-Month Projections'!V7*$D$7+'24-Month Projections'!V8*$E$7</f>
        <v>33171.909999999996</v>
      </c>
      <c r="W49" s="29">
        <f>'24-Month Projections'!W6*$C$7+'24-Month Projections'!W7*$D$7+'24-Month Projections'!W8*$E$7</f>
        <v>36421.159999999996</v>
      </c>
      <c r="X49" s="29">
        <f>'24-Month Projections'!X6*$C$7+'24-Month Projections'!X7*$D$7+'24-Month Projections'!X8*$E$7</f>
        <v>40035.329999999994</v>
      </c>
      <c r="Y49" s="29">
        <f>'24-Month Projections'!Y6*$C$7+'24-Month Projections'!Y7*$D$7+'24-Month Projections'!Y8*$E$7</f>
        <v>43969.43</v>
      </c>
      <c r="Z49" s="29">
        <f>'24-Month Projections'!Z6*$C$7+'24-Month Projections'!Z7*$D$7+'24-Month Projections'!Z8*$E$7</f>
        <v>48268.45</v>
      </c>
    </row>
    <row r="50" spans="2:26" x14ac:dyDescent="0.55000000000000004">
      <c r="B50" s="5" t="s">
        <v>576</v>
      </c>
      <c r="C50" s="29">
        <f t="shared" ref="C50:Z50" si="14">C29</f>
        <v>37.905694444444443</v>
      </c>
      <c r="D50" s="29">
        <f t="shared" si="14"/>
        <v>79.199333333333328</v>
      </c>
      <c r="E50" s="29">
        <f t="shared" si="14"/>
        <v>124.13083333333334</v>
      </c>
      <c r="F50" s="29">
        <f t="shared" si="14"/>
        <v>172.95013888888889</v>
      </c>
      <c r="G50" s="29">
        <f t="shared" si="14"/>
        <v>226.10158333333331</v>
      </c>
      <c r="H50" s="29">
        <f t="shared" si="14"/>
        <v>284.08502777777778</v>
      </c>
      <c r="I50" s="29">
        <f t="shared" si="14"/>
        <v>347.15038888888887</v>
      </c>
      <c r="J50" s="29">
        <f t="shared" si="14"/>
        <v>415.99194444444441</v>
      </c>
      <c r="K50" s="29">
        <f t="shared" si="14"/>
        <v>491.10955555555552</v>
      </c>
      <c r="L50" s="29">
        <f t="shared" si="14"/>
        <v>573.19749999999999</v>
      </c>
      <c r="M50" s="29">
        <f t="shared" si="14"/>
        <v>662.50569444444443</v>
      </c>
      <c r="N50" s="29">
        <f t="shared" si="14"/>
        <v>759.7284166666667</v>
      </c>
      <c r="O50" s="29">
        <f t="shared" si="14"/>
        <v>865.61544444444439</v>
      </c>
      <c r="P50" s="29">
        <f t="shared" si="14"/>
        <v>980.86105555555559</v>
      </c>
      <c r="Q50" s="29">
        <f t="shared" si="14"/>
        <v>1106.6593888888888</v>
      </c>
      <c r="R50" s="29">
        <f t="shared" si="14"/>
        <v>1243.9546388888889</v>
      </c>
      <c r="S50" s="29">
        <f t="shared" si="14"/>
        <v>1393.9409444444443</v>
      </c>
      <c r="T50" s="29">
        <f t="shared" si="14"/>
        <v>1557.5624999999998</v>
      </c>
      <c r="U50" s="29">
        <f t="shared" si="14"/>
        <v>1736.2078611111112</v>
      </c>
      <c r="V50" s="29">
        <f t="shared" si="14"/>
        <v>1931.0711666666666</v>
      </c>
      <c r="W50" s="29">
        <f t="shared" si="14"/>
        <v>2143.7908888888887</v>
      </c>
      <c r="X50" s="29">
        <f t="shared" si="14"/>
        <v>2376.2554444444445</v>
      </c>
      <c r="Y50" s="29">
        <f t="shared" si="14"/>
        <v>2630.1033055555558</v>
      </c>
      <c r="Z50" s="29">
        <f t="shared" si="14"/>
        <v>2907.2228888888885</v>
      </c>
    </row>
    <row r="51" spans="2:26" x14ac:dyDescent="0.55000000000000004">
      <c r="B51" s="5" t="s">
        <v>577</v>
      </c>
      <c r="C51" s="29">
        <f>IF('24-Month Projections'!C9&gt;0, '24-Month Projections'!C88*(C49/'24-Month Projections'!C9), 0)</f>
        <v>339.58741935483874</v>
      </c>
      <c r="D51" s="29">
        <f>IF('24-Month Projections'!D9&gt;0, '24-Month Projections'!D88*(D49/'24-Month Projections'!D9), 0)</f>
        <v>379.18994082840237</v>
      </c>
      <c r="E51" s="29">
        <f>IF('24-Month Projections'!E9&gt;0, '24-Month Projections'!E88*(E49/'24-Month Projections'!E9), 0)</f>
        <v>418.36826086956523</v>
      </c>
      <c r="F51" s="29">
        <f>IF('24-Month Projections'!F9&gt;0, '24-Month Projections'!F88*(F49/'24-Month Projections'!F9), 0)</f>
        <v>457.98</v>
      </c>
      <c r="G51" s="29">
        <f>IF('24-Month Projections'!G9&gt;0, '24-Month Projections'!G88*(G49/'24-Month Projections'!G9), 0)</f>
        <v>498.99844036697243</v>
      </c>
      <c r="H51" s="29">
        <f>IF('24-Month Projections'!H9&gt;0, '24-Month Projections'!H88*(H49/'24-Month Projections'!H9), 0)</f>
        <v>539.8599999999999</v>
      </c>
      <c r="I51" s="29">
        <f>IF('24-Month Projections'!I9&gt;0, '24-Month Projections'!I88*(I49/'24-Month Projections'!I9), 0)</f>
        <v>618.83613899613897</v>
      </c>
      <c r="J51" s="29">
        <f>IF('24-Month Projections'!J9&gt;0, '24-Month Projections'!J88*(J49/'24-Month Projections'!J9), 0)</f>
        <v>660.90773851590109</v>
      </c>
      <c r="K51" s="29">
        <f>IF('24-Month Projections'!K9&gt;0, '24-Month Projections'!K88*(K49/'24-Month Projections'!K9), 0)</f>
        <v>741.67084142394822</v>
      </c>
      <c r="L51" s="29">
        <f>IF('24-Month Projections'!L9&gt;0, '24-Month Projections'!L88*(L49/'24-Month Projections'!L9), 0)</f>
        <v>785.00710059171593</v>
      </c>
      <c r="M51" s="29">
        <f>IF('24-Month Projections'!M9&gt;0, '24-Month Projections'!M88*(M49/'24-Month Projections'!M9), 0)</f>
        <v>866.92673913043473</v>
      </c>
      <c r="N51" s="29">
        <f>IF('24-Month Projections'!N9&gt;0, '24-Month Projections'!N88*(N49/'24-Month Projections'!N9), 0)</f>
        <v>950.48319201995014</v>
      </c>
      <c r="O51" s="29">
        <f>IF('24-Month Projections'!O9&gt;0, '24-Month Projections'!O88*(O49/'24-Month Projections'!O9), 0)</f>
        <v>1033.1953775743705</v>
      </c>
      <c r="P51" s="29">
        <f>IF('24-Month Projections'!P9&gt;0, '24-Month Projections'!P88*(P49/'24-Month Projections'!P9), 0)</f>
        <v>1157.2730252100839</v>
      </c>
      <c r="Q51" s="29">
        <f>IF('24-Month Projections'!Q9&gt;0, '24-Month Projections'!Q88*(Q49/'24-Month Projections'!Q9), 0)</f>
        <v>1242.6707692307691</v>
      </c>
      <c r="R51" s="29">
        <f>IF('24-Month Projections'!R9&gt;0, '24-Month Projections'!R88*(R49/'24-Month Projections'!R9), 0)</f>
        <v>1368.9381690140845</v>
      </c>
      <c r="S51" s="29">
        <f>IF('24-Month Projections'!S9&gt;0, '24-Month Projections'!S88*(S49/'24-Month Projections'!S9), 0)</f>
        <v>1496.3127697262482</v>
      </c>
      <c r="T51" s="29">
        <f>IF('24-Month Projections'!T9&gt;0, '24-Month Projections'!T88*(T49/'24-Month Projections'!T9), 0)</f>
        <v>1664.9882300884954</v>
      </c>
      <c r="U51" s="29">
        <f>IF('24-Month Projections'!U9&gt;0, '24-Month Projections'!U88*(U49/'24-Month Projections'!U9), 0)</f>
        <v>1795.7813225371121</v>
      </c>
      <c r="V51" s="29">
        <f>IF('24-Month Projections'!V9&gt;0, '24-Month Projections'!V88*(V49/'24-Month Projections'!V9), 0)</f>
        <v>2009.1762546353521</v>
      </c>
      <c r="W51" s="29">
        <f>IF('24-Month Projections'!W9&gt;0, '24-Month Projections'!W88*(W49/'24-Month Projections'!W9), 0)</f>
        <v>2183.6215837104069</v>
      </c>
      <c r="X51" s="29">
        <f>IF('24-Month Projections'!X9&gt;0, '24-Month Projections'!X88*(X49/'24-Month Projections'!X9), 0)</f>
        <v>2401.2917683557389</v>
      </c>
      <c r="Y51" s="29">
        <f>IF('24-Month Projections'!Y9&gt;0, '24-Month Projections'!Y88*(Y49/'24-Month Projections'!Y9), 0)</f>
        <v>2620.6945033112584</v>
      </c>
      <c r="Z51" s="29">
        <f>IF('24-Month Projections'!Z9&gt;0, '24-Month Projections'!Z88*(Z49/'24-Month Projections'!Z9), 0)</f>
        <v>2883.5697402597398</v>
      </c>
    </row>
    <row r="52" spans="2:26" x14ac:dyDescent="0.55000000000000004">
      <c r="B52" s="58" t="s">
        <v>578</v>
      </c>
      <c r="C52" s="60">
        <f>C49-C50-C51</f>
        <v>5470.9568862007172</v>
      </c>
      <c r="D52" s="60">
        <f t="shared" ref="D52:Z52" si="15">C52+D49-D50-D51</f>
        <v>11420.877612038979</v>
      </c>
      <c r="E52" s="60">
        <f t="shared" si="15"/>
        <v>17876.538517836081</v>
      </c>
      <c r="F52" s="60">
        <f t="shared" si="15"/>
        <v>24878.608378947192</v>
      </c>
      <c r="G52" s="60">
        <f t="shared" si="15"/>
        <v>32521.328355246886</v>
      </c>
      <c r="H52" s="60">
        <f t="shared" si="15"/>
        <v>40875.003327469109</v>
      </c>
      <c r="I52" s="60">
        <f t="shared" si="15"/>
        <v>49926.426799584086</v>
      </c>
      <c r="J52" s="60">
        <f t="shared" si="15"/>
        <v>59851.697116623734</v>
      </c>
      <c r="K52" s="60">
        <f t="shared" si="15"/>
        <v>70680.826719644232</v>
      </c>
      <c r="L52" s="60">
        <f t="shared" si="15"/>
        <v>82589.24211905252</v>
      </c>
      <c r="M52" s="60">
        <f t="shared" si="15"/>
        <v>95561.12968547763</v>
      </c>
      <c r="N52" s="60">
        <f t="shared" si="15"/>
        <v>109731.90807679102</v>
      </c>
      <c r="O52" s="60">
        <f t="shared" si="15"/>
        <v>125198.7272547722</v>
      </c>
      <c r="P52" s="60">
        <f t="shared" si="15"/>
        <v>142055.83317400658</v>
      </c>
      <c r="Q52" s="60">
        <f t="shared" si="15"/>
        <v>160551.30301588689</v>
      </c>
      <c r="R52" s="60">
        <f t="shared" si="15"/>
        <v>180807.73020798393</v>
      </c>
      <c r="S52" s="60">
        <f t="shared" si="15"/>
        <v>203031.26649381325</v>
      </c>
      <c r="T52" s="60">
        <f t="shared" si="15"/>
        <v>227341.93576372476</v>
      </c>
      <c r="U52" s="60">
        <f t="shared" si="15"/>
        <v>254052.53658007653</v>
      </c>
      <c r="V52" s="60">
        <f t="shared" si="15"/>
        <v>283284.19915877451</v>
      </c>
      <c r="W52" s="60">
        <f t="shared" si="15"/>
        <v>315377.94668617519</v>
      </c>
      <c r="X52" s="60">
        <f t="shared" si="15"/>
        <v>350635.72947337502</v>
      </c>
      <c r="Y52" s="60">
        <f t="shared" si="15"/>
        <v>389354.36166450824</v>
      </c>
      <c r="Z52" s="60">
        <f t="shared" si="15"/>
        <v>431832.01903535961</v>
      </c>
    </row>
    <row r="54" spans="2:26" ht="16.8" x14ac:dyDescent="0.65">
      <c r="B54" s="3" t="s">
        <v>579</v>
      </c>
      <c r="F54" s="10" t="s">
        <v>580</v>
      </c>
    </row>
    <row r="55" spans="2:26" x14ac:dyDescent="0.55000000000000004">
      <c r="B55" s="5" t="s">
        <v>581</v>
      </c>
      <c r="C55" s="29">
        <f>'24-Month Projections'!C105+'24-Month Projections'!C106+'24-Month Projections'!C70</f>
        <v>3080.9394183499553</v>
      </c>
      <c r="D55" s="29">
        <f>'24-Month Projections'!D105+'24-Month Projections'!D106+'24-Month Projections'!D70</f>
        <v>3305.9549693975059</v>
      </c>
      <c r="E55" s="29">
        <f>'24-Month Projections'!E105+'24-Month Projections'!E106+'24-Month Projections'!E70</f>
        <v>3561.4378795455286</v>
      </c>
      <c r="F55" s="29">
        <f>'24-Month Projections'!F105+'24-Month Projections'!F106+'24-Month Projections'!F70</f>
        <v>3834.1298277696997</v>
      </c>
      <c r="G55" s="29">
        <f>'24-Month Projections'!G105+'24-Month Projections'!G106+'24-Month Projections'!G70</f>
        <v>4135.7878746177848</v>
      </c>
      <c r="H55" s="29">
        <f>'24-Month Projections'!H105+'24-Month Projections'!H106+'24-Month Projections'!H70</f>
        <v>4467.8604702280936</v>
      </c>
      <c r="I55" s="29">
        <f>'24-Month Projections'!I105+'24-Month Projections'!I106+'24-Month Projections'!I70</f>
        <v>4811.4191529270211</v>
      </c>
      <c r="J55" s="29">
        <f>'24-Month Projections'!J105+'24-Month Projections'!J106+'24-Month Projections'!J70</f>
        <v>5203.9942339356876</v>
      </c>
      <c r="K55" s="29">
        <f>'24-Month Projections'!K105+'24-Month Projections'!K106+'24-Month Projections'!K70</f>
        <v>5637.7239309579872</v>
      </c>
      <c r="L55" s="29">
        <f>'24-Month Projections'!L105+'24-Month Projections'!L106+'24-Month Projections'!L70</f>
        <v>6103.4469695813059</v>
      </c>
      <c r="M55" s="29">
        <f>'24-Month Projections'!M105+'24-Month Projections'!M106+'24-Month Projections'!M70</f>
        <v>6597.2358923125394</v>
      </c>
      <c r="N55" s="29">
        <f>'24-Month Projections'!N105+'24-Month Projections'!N106+'24-Month Projections'!N70</f>
        <v>7137.9758805526099</v>
      </c>
      <c r="O55" s="29">
        <f>'24-Month Projections'!O105+'24-Month Projections'!O106+'24-Month Projections'!O70</f>
        <v>7707.7975650359085</v>
      </c>
      <c r="P55" s="29">
        <f>'24-Month Projections'!P105+'24-Month Projections'!P106+'24-Month Projections'!P70</f>
        <v>8352.2033632232033</v>
      </c>
      <c r="Q55" s="29">
        <f>'24-Month Projections'!Q105+'24-Month Projections'!Q106+'24-Month Projections'!Q70</f>
        <v>9051.3119932750942</v>
      </c>
      <c r="R55" s="29">
        <f>'24-Month Projections'!R105+'24-Month Projections'!R106+'24-Month Projections'!R70</f>
        <v>9827.0896291124263</v>
      </c>
      <c r="S55" s="29">
        <f>'24-Month Projections'!S105+'24-Month Projections'!S106+'24-Month Projections'!S70</f>
        <v>10673.718180971831</v>
      </c>
      <c r="T55" s="29">
        <f>'24-Month Projections'!T105+'24-Month Projections'!T106+'24-Month Projections'!T70</f>
        <v>11567.927993522917</v>
      </c>
      <c r="U55" s="29">
        <f>'24-Month Projections'!U105+'24-Month Projections'!U106+'24-Month Projections'!U70</f>
        <v>12578.588983117481</v>
      </c>
      <c r="V55" s="29">
        <f>'24-Month Projections'!V105+'24-Month Projections'!V106+'24-Month Projections'!V70</f>
        <v>13661.803757965097</v>
      </c>
      <c r="W55" s="29">
        <f>'24-Month Projections'!W105+'24-Month Projections'!W106+'24-Month Projections'!W70</f>
        <v>14847.157515106825</v>
      </c>
      <c r="X55" s="29">
        <f>'24-Month Projections'!X105+'24-Month Projections'!X106+'24-Month Projections'!X70</f>
        <v>16148.025552049188</v>
      </c>
      <c r="Y55" s="29">
        <f>'24-Month Projections'!Y105+'24-Month Projections'!Y106+'24-Month Projections'!Y70</f>
        <v>17569.659504284144</v>
      </c>
      <c r="Z55" s="29">
        <f>'24-Month Projections'!Z105+'24-Month Projections'!Z106+'24-Month Projections'!Z70</f>
        <v>19120.400273665186</v>
      </c>
    </row>
    <row r="56" spans="2:26" x14ac:dyDescent="0.55000000000000004">
      <c r="B56" s="30" t="s">
        <v>582</v>
      </c>
      <c r="C56" s="31">
        <f>'24-Month Projections'!C104-C55</f>
        <v>2616.0465171339165</v>
      </c>
      <c r="D56" s="31">
        <f>'24-Month Projections'!D104-D55</f>
        <v>2981.5730187681738</v>
      </c>
      <c r="E56" s="31">
        <f>'24-Month Projections'!E104-E55</f>
        <v>3384.6343487153408</v>
      </c>
      <c r="F56" s="31">
        <f>'24-Month Projections'!F104-F55</f>
        <v>3810.4107722303006</v>
      </c>
      <c r="G56" s="31">
        <f>'24-Month Projections'!G104-G55</f>
        <v>4324.8912538225813</v>
      </c>
      <c r="H56" s="31">
        <f>'24-Month Projections'!H104-H55</f>
        <v>4889.2312944777877</v>
      </c>
      <c r="I56" s="31">
        <f>'24-Month Projections'!I104-I55</f>
        <v>5426.1051713973029</v>
      </c>
      <c r="J56" s="31">
        <f>'24-Month Projections'!J104-J55</f>
        <v>6132.7189816120153</v>
      </c>
      <c r="K56" s="31">
        <f>'24-Month Projections'!K104-K55</f>
        <v>6835.8893376504275</v>
      </c>
      <c r="L56" s="31">
        <f>'24-Month Projections'!L104-L55</f>
        <v>7731.8110185843743</v>
      </c>
      <c r="M56" s="31">
        <f>'24-Month Projections'!M104-M55</f>
        <v>8563.7319337744157</v>
      </c>
      <c r="N56" s="31">
        <f>'24-Month Projections'!N104-N55</f>
        <v>9530.3693064798063</v>
      </c>
      <c r="O56" s="31">
        <f>'24-Month Projections'!O104-O55</f>
        <v>10612.174746176905</v>
      </c>
      <c r="P56" s="31">
        <f>'24-Month Projections'!P104-P55</f>
        <v>11709.569830054103</v>
      </c>
      <c r="Q56" s="31">
        <f>'24-Month Projections'!Q104-Q55</f>
        <v>13064.324256724909</v>
      </c>
      <c r="R56" s="31">
        <f>'24-Month Projections'!R104-R55</f>
        <v>14467.973680746731</v>
      </c>
      <c r="S56" s="31">
        <f>'24-Month Projections'!S104-S55</f>
        <v>16072.861142699665</v>
      </c>
      <c r="T56" s="31">
        <f>'24-Month Projections'!T104-T55</f>
        <v>17783.190531550827</v>
      </c>
      <c r="U56" s="31">
        <f>'24-Month Projections'!U104-U55</f>
        <v>19759.323311079555</v>
      </c>
      <c r="V56" s="31">
        <f>'24-Month Projections'!V104-V55</f>
        <v>21809.538145619561</v>
      </c>
      <c r="W56" s="31">
        <f>'24-Month Projections'!W104-W55</f>
        <v>24180.86088987055</v>
      </c>
      <c r="X56" s="31">
        <f>'24-Month Projections'!X104-X55</f>
        <v>26769.50232799217</v>
      </c>
      <c r="Y56" s="31">
        <f>'24-Month Projections'!Y104-Y55</f>
        <v>29647.287118232416</v>
      </c>
      <c r="Z56" s="31">
        <f>'24-Month Projections'!Z104-Z55</f>
        <v>32728.446012049095</v>
      </c>
    </row>
    <row r="57" spans="2:26" x14ac:dyDescent="0.55000000000000004">
      <c r="B57" s="57" t="s">
        <v>583</v>
      </c>
      <c r="C57" s="17">
        <f>C26-'24-Month Projections'!C94-C55</f>
        <v>-1171.6736285019479</v>
      </c>
      <c r="D57" s="17">
        <f>D26-'24-Month Projections'!D94-D55</f>
        <v>-1154.9981856745408</v>
      </c>
      <c r="E57" s="17">
        <f>E26-'24-Month Projections'!E94-E55</f>
        <v>-1115.6119182560392</v>
      </c>
      <c r="F57" s="17">
        <f>F26-'24-Month Projections'!F94-F55</f>
        <v>-1082.7235318147455</v>
      </c>
      <c r="G57" s="17">
        <f>G26-'24-Month Projections'!G94-G55</f>
        <v>-1030.942588647009</v>
      </c>
      <c r="H57" s="17">
        <f>H26-'24-Month Projections'!H94-H55</f>
        <v>-975.01988982519742</v>
      </c>
      <c r="I57" s="17">
        <f>I26-'24-Month Projections'!I94-I55</f>
        <v>-960.45323755653953</v>
      </c>
      <c r="J57" s="17">
        <f>J26-'24-Month Projections'!J94-J55</f>
        <v>-876.70928426538285</v>
      </c>
      <c r="K57" s="17">
        <f>K26-'24-Month Projections'!K94-K55</f>
        <v>-841.19246765502248</v>
      </c>
      <c r="L57" s="17">
        <f>L26-'24-Month Projections'!L94-L55</f>
        <v>-712.69550628269371</v>
      </c>
      <c r="M57" s="17">
        <f>M26-'24-Month Projections'!M94-M55</f>
        <v>-660.68231837027724</v>
      </c>
      <c r="N57" s="17">
        <f>N26-'24-Month Projections'!N94-N55</f>
        <v>-573.10843011375528</v>
      </c>
      <c r="O57" s="17">
        <f>O26-'24-Month Projections'!O94-O55</f>
        <v>-430.72086532952289</v>
      </c>
      <c r="P57" s="17">
        <f>P26-'24-Month Projections'!P94-P55</f>
        <v>-370.96529263207958</v>
      </c>
      <c r="Q57" s="17">
        <f>Q26-'24-Month Projections'!Q94-Q55</f>
        <v>-200.08606492113904</v>
      </c>
      <c r="R57" s="17">
        <f>R26-'24-Month Projections'!R94-R55</f>
        <v>-94.246852850781579</v>
      </c>
      <c r="S57" s="17">
        <f>S26-'24-Month Projections'!S94-S55</f>
        <v>68.00158447204376</v>
      </c>
      <c r="T57" s="17">
        <f>T26-'24-Month Projections'!T94-T55</f>
        <v>223.16381080294377</v>
      </c>
      <c r="U57" s="17">
        <f>U26-'24-Month Projections'!U94-U55</f>
        <v>445.40129466311191</v>
      </c>
      <c r="V57" s="17">
        <f>V26-'24-Month Projections'!V94-V55</f>
        <v>599.24440435159886</v>
      </c>
      <c r="W57" s="17">
        <f>W26-'24-Month Projections'!W94-W55</f>
        <v>860.22666807513815</v>
      </c>
      <c r="X57" s="17">
        <f>X26-'24-Month Projections'!X94-X55</f>
        <v>1094.1378245034903</v>
      </c>
      <c r="Y57" s="17">
        <f>Y26-'24-Month Projections'!Y94-Y55</f>
        <v>1405.5759608702174</v>
      </c>
      <c r="Z57" s="17">
        <f>Z26-'24-Month Projections'!Z94-Z55</f>
        <v>1678.350783143218</v>
      </c>
    </row>
    <row r="58" spans="2:26" x14ac:dyDescent="0.55000000000000004">
      <c r="B58" s="58" t="s">
        <v>584</v>
      </c>
      <c r="C58" s="60">
        <f>C31-'24-Month Projections'!C94-C55</f>
        <v>-3194.4977884216401</v>
      </c>
      <c r="D58" s="60">
        <f>D31-'24-Month Projections'!D94-D55</f>
        <v>-3347.5376478984922</v>
      </c>
      <c r="E58" s="60">
        <f>E31-'24-Month Projections'!E94-E55</f>
        <v>-3489.3948179513259</v>
      </c>
      <c r="F58" s="60">
        <f>F31-'24-Month Projections'!F94-F55</f>
        <v>-3649.639088880811</v>
      </c>
      <c r="G58" s="60">
        <f>G31-'24-Month Projections'!G94-G55</f>
        <v>-3816.8271628440843</v>
      </c>
      <c r="H58" s="60">
        <f>H31-'24-Month Projections'!H94-H55</f>
        <v>-4004.3036777444336</v>
      </c>
      <c r="I58" s="60">
        <f>I31-'24-Month Projections'!I94-I55</f>
        <v>-4244.1544397138077</v>
      </c>
      <c r="J58" s="60">
        <f>J31-'24-Month Projections'!J94-J55</f>
        <v>-4453.4590739435398</v>
      </c>
      <c r="K58" s="60">
        <f>K31-'24-Month Projections'!K94-K55</f>
        <v>-4734.9111067940175</v>
      </c>
      <c r="L58" s="60">
        <f>L31-'24-Month Projections'!L94-L55</f>
        <v>-4961.6114814156253</v>
      </c>
      <c r="M58" s="60">
        <f>M31-'24-Month Projections'!M94-M55</f>
        <v>-5275.0823717811381</v>
      </c>
      <c r="N58" s="60">
        <f>N31-'24-Month Projections'!N94-N55</f>
        <v>-5590.892276853524</v>
      </c>
      <c r="O58" s="60">
        <f>O31-'24-Month Projections'!O94-O55</f>
        <v>-5887.83980937865</v>
      </c>
      <c r="P58" s="60">
        <f>P31-'24-Month Projections'!P94-P55</f>
        <v>-6304.8091143903366</v>
      </c>
      <c r="Q58" s="60">
        <f>Q31-'24-Month Projections'!Q94-Q55</f>
        <v>-6673.8163543862047</v>
      </c>
      <c r="R58" s="60">
        <f>R31-'24-Month Projections'!R94-R55</f>
        <v>-7157.3916803643824</v>
      </c>
      <c r="S58" s="60">
        <f>S31-'24-Month Projections'!S94-S55</f>
        <v>-7646.9879128558896</v>
      </c>
      <c r="T58" s="60">
        <f>T31-'24-Month Projections'!T94-T55</f>
        <v>-8192.466968449171</v>
      </c>
      <c r="U58" s="60">
        <f>U31-'24-Month Projections'!U94-U55</f>
        <v>-8747.0588278093383</v>
      </c>
      <c r="V58" s="60">
        <f>V31-'24-Month Projections'!V94-V55</f>
        <v>-9431.3006877137577</v>
      </c>
      <c r="W58" s="60">
        <f>W31-'24-Month Projections'!W94-W55</f>
        <v>-10096.50822124056</v>
      </c>
      <c r="X58" s="60">
        <f>X31-'24-Month Projections'!X94-X55</f>
        <v>-10889.57222756338</v>
      </c>
      <c r="Y58" s="60">
        <f>Y31-'24-Month Projections'!Y94-Y55</f>
        <v>-11692.039576212032</v>
      </c>
      <c r="Z58" s="60">
        <f>Z31-'24-Month Projections'!Z94-Z55</f>
        <v>-12632.781099062009</v>
      </c>
    </row>
    <row r="60" spans="2:26" ht="16.8" x14ac:dyDescent="0.65">
      <c r="B60" s="3" t="s">
        <v>585</v>
      </c>
    </row>
    <row r="61" spans="2:26" x14ac:dyDescent="0.55000000000000004">
      <c r="B61" s="5" t="s">
        <v>586</v>
      </c>
      <c r="C61" s="29">
        <f>(C15*'Per-Charm Costs'!C56*$G$6 + C16*'Per-Charm Costs'!C56*$H$6 + C17*'Per-Charm Costs'!C56*$I$6)</f>
        <v>46.138995195249031</v>
      </c>
      <c r="D61" s="29">
        <f>(D15*'Per-Charm Costs'!C56*$G$6 + D16*'Per-Charm Costs'!C56*$H$6 + D17*'Per-Charm Costs'!C56*$I$6)</f>
        <v>96.779355775400404</v>
      </c>
      <c r="E61" s="29">
        <f>(E15*'Per-Charm Costs'!C56*$G$6 + E16*'Per-Charm Costs'!C56*$H$6 + E17*'Per-Charm Costs'!C56*$I$6)</f>
        <v>152.14615000969923</v>
      </c>
      <c r="F61" s="29">
        <f>(F15*'Per-Charm Costs'!C56*$G$6 + F16*'Per-Charm Costs'!C56*$H$6 + F17*'Per-Charm Costs'!C56*$I$6)</f>
        <v>212.57698030201323</v>
      </c>
      <c r="G61" s="29">
        <f>(G15*'Per-Charm Costs'!C56*$G$6 + G16*'Per-Charm Costs'!C56*$H$6 + G17*'Per-Charm Costs'!C56*$I$6)</f>
        <v>278.9721197293228</v>
      </c>
      <c r="H61" s="29">
        <f>(H15*'Per-Charm Costs'!C56*$G$6 + H16*'Per-Charm Costs'!C56*$H$6 + H17*'Per-Charm Costs'!C56*$I$6)</f>
        <v>351.89423896474079</v>
      </c>
      <c r="I61" s="29">
        <f>(I15*'Per-Charm Costs'!C56*$G$6 + I16*'Per-Charm Costs'!C56*$H$6 + I17*'Per-Charm Costs'!C56*$I$6)</f>
        <v>431.56840627751228</v>
      </c>
      <c r="J61" s="29">
        <f>(J15*'Per-Charm Costs'!C56*$G$6 + J16*'Per-Charm Costs'!C56*$H$6 + J17*'Per-Charm Costs'!C56*$I$6)</f>
        <v>519.23249714848532</v>
      </c>
      <c r="K61" s="29">
        <f>(K15*'Per-Charm Costs'!C56*$G$6 + K16*'Per-Charm Costs'!C56*$H$6 + K17*'Per-Charm Costs'!C56*$I$6)</f>
        <v>615.44918225077311</v>
      </c>
      <c r="L61" s="29">
        <f>(L15*'Per-Charm Costs'!C56*$G$6 + L16*'Per-Charm Costs'!C56*$H$6 + L17*'Per-Charm Costs'!C56*$I$6)</f>
        <v>721.45633706522324</v>
      </c>
      <c r="M61" s="29">
        <f>(M15*'Per-Charm Costs'!C56*$G$6 + M16*'Per-Charm Costs'!C56*$H$6 + M17*'Per-Charm Costs'!C56*$I$6)</f>
        <v>837.47902986108124</v>
      </c>
      <c r="N61" s="29">
        <f>(N15*'Per-Charm Costs'!C56*$G$6 + N16*'Per-Charm Costs'!C56*$H$6 + N17*'Per-Charm Costs'!C56*$I$6)</f>
        <v>964.75513611919496</v>
      </c>
      <c r="O61" s="29">
        <f>(O15*'Per-Charm Costs'!C56*$G$6 + O16*'Per-Charm Costs'!C56*$H$6 + O17*'Per-Charm Costs'!C56*$I$6)</f>
        <v>1104.0723947819224</v>
      </c>
      <c r="P61" s="29">
        <f>(P15*'Per-Charm Costs'!C56*$G$6 + P16*'Per-Charm Costs'!C56*$H$6 + P17*'Per-Charm Costs'!C56*$I$6)</f>
        <v>1256.6686813301121</v>
      </c>
      <c r="Q61" s="29">
        <f>(Q15*'Per-Charm Costs'!C56*$G$6 + Q16*'Per-Charm Costs'!C56*$H$6 + Q17*'Per-Charm Costs'!C56*$I$6)</f>
        <v>1424.3445419177244</v>
      </c>
      <c r="R61" s="29">
        <f>(R15*'Per-Charm Costs'!C56*$G$6 + R16*'Per-Charm Costs'!C56*$H$6 + R17*'Per-Charm Costs'!C56*$I$6)</f>
        <v>1608.5629202948526</v>
      </c>
      <c r="S61" s="29">
        <f>(S15*'Per-Charm Costs'!C56*$G$6 + S16*'Per-Charm Costs'!C56*$H$6 + S17*'Per-Charm Costs'!C56*$I$6)</f>
        <v>1811.1243626154583</v>
      </c>
      <c r="T61" s="29">
        <f>(T15*'Per-Charm Costs'!C56*$G$6 + T16*'Per-Charm Costs'!C56*$H$6 + T17*'Per-Charm Costs'!C56*$I$6)</f>
        <v>2033.4918126296343</v>
      </c>
      <c r="U61" s="29">
        <f>(U15*'Per-Charm Costs'!C56*$G$6 + U16*'Per-Charm Costs'!C56*$H$6 + U17*'Per-Charm Costs'!C56*$I$6)</f>
        <v>2278.1410212990763</v>
      </c>
      <c r="V61" s="29">
        <f>(V15*'Per-Charm Costs'!C56*$G$6 + V16*'Per-Charm Costs'!C56*$H$6 + V17*'Per-Charm Costs'!C56*$I$6)</f>
        <v>2546.8725347777463</v>
      </c>
      <c r="W61" s="29">
        <f>(W15*'Per-Charm Costs'!C56*$G$6 + W16*'Per-Charm Costs'!C56*$H$6 + W17*'Per-Charm Costs'!C56*$I$6)</f>
        <v>2842.3871722965855</v>
      </c>
      <c r="X61" s="29">
        <f>(X15*'Per-Charm Costs'!C56*$G$6 + X16*'Per-Charm Costs'!C56*$H$6 + X17*'Per-Charm Costs'!C56*$I$6)</f>
        <v>3167.7233554904024</v>
      </c>
      <c r="Y61" s="29">
        <f>(Y15*'Per-Charm Costs'!C56*$G$6 + Y16*'Per-Charm Costs'!C56*$H$6 + Y17*'Per-Charm Costs'!C56*$I$6)</f>
        <v>3525.5819035901386</v>
      </c>
      <c r="Z61" s="29">
        <f>(Z15*'Per-Charm Costs'!C56*$G$6 + Z16*'Per-Charm Costs'!C56*$H$6 + Z17*'Per-Charm Costs'!C56*$I$6)</f>
        <v>3919.0012382306031</v>
      </c>
    </row>
    <row r="62" spans="2:26" x14ac:dyDescent="0.55000000000000004">
      <c r="B62" s="57" t="s">
        <v>587</v>
      </c>
      <c r="C62" s="17">
        <f t="shared" ref="C62:Z62" si="16">C46</f>
        <v>3566.4165888777579</v>
      </c>
      <c r="D62" s="17">
        <f t="shared" si="16"/>
        <v>7455.2977010942823</v>
      </c>
      <c r="E62" s="17">
        <f t="shared" si="16"/>
        <v>11681.876741456063</v>
      </c>
      <c r="F62" s="17">
        <f t="shared" si="16"/>
        <v>16274.942923587074</v>
      </c>
      <c r="G62" s="17">
        <f t="shared" si="16"/>
        <v>21302.965373050407</v>
      </c>
      <c r="H62" s="17">
        <f t="shared" si="16"/>
        <v>26811.80714943408</v>
      </c>
      <c r="I62" s="17">
        <f t="shared" si="16"/>
        <v>32790.402919130611</v>
      </c>
      <c r="J62" s="17">
        <f t="shared" si="16"/>
        <v>39363.111621277618</v>
      </c>
      <c r="K62" s="17">
        <f t="shared" si="16"/>
        <v>46549.200049652834</v>
      </c>
      <c r="L62" s="17">
        <f t="shared" si="16"/>
        <v>54472.737632671073</v>
      </c>
      <c r="M62" s="17">
        <f t="shared" si="16"/>
        <v>63120.801643553081</v>
      </c>
      <c r="N62" s="17">
        <f t="shared" si="16"/>
        <v>72590.977076966956</v>
      </c>
      <c r="O62" s="17">
        <f t="shared" si="16"/>
        <v>82944.425866393431</v>
      </c>
      <c r="P62" s="17">
        <f t="shared" si="16"/>
        <v>94251.290955028264</v>
      </c>
      <c r="Q62" s="17">
        <f t="shared" si="16"/>
        <v>106683.30472006307</v>
      </c>
      <c r="R62" s="17">
        <f t="shared" si="16"/>
        <v>120326.80167396519</v>
      </c>
      <c r="S62" s="17">
        <f t="shared" si="16"/>
        <v>135325.54326728158</v>
      </c>
      <c r="T62" s="17">
        <f t="shared" si="16"/>
        <v>151764.04276050164</v>
      </c>
      <c r="U62" s="17">
        <f t="shared" si="16"/>
        <v>169865.76616620223</v>
      </c>
      <c r="V62" s="17">
        <f t="shared" si="16"/>
        <v>189717.14916254912</v>
      </c>
      <c r="W62" s="17">
        <f t="shared" si="16"/>
        <v>211557.92550135846</v>
      </c>
      <c r="X62" s="17">
        <f t="shared" si="16"/>
        <v>235602.61619520647</v>
      </c>
      <c r="Y62" s="17">
        <f t="shared" si="16"/>
        <v>262061.1784411624</v>
      </c>
      <c r="Z62" s="17">
        <f t="shared" si="16"/>
        <v>291145.54307328339</v>
      </c>
    </row>
    <row r="63" spans="2:26" x14ac:dyDescent="0.55000000000000004">
      <c r="B63" s="12" t="s">
        <v>588</v>
      </c>
      <c r="C63" s="13">
        <f>IF(C61&gt;0,C62/C61,0)</f>
        <v>77.297231415325555</v>
      </c>
      <c r="D63" s="13">
        <f>IF(D61&gt;0,D62/D61,0)</f>
        <v>77.033967020777453</v>
      </c>
      <c r="E63" s="13">
        <f>IF(E61&gt;0,E62/E61,0)</f>
        <v>76.780626658718276</v>
      </c>
      <c r="F63" s="64" t="s">
        <v>589</v>
      </c>
      <c r="G63" s="13">
        <f t="shared" ref="G63:Z63" si="17">IF(G61&gt;0,G62/G61,0)</f>
        <v>76.362345433371459</v>
      </c>
      <c r="H63" s="13">
        <f t="shared" si="17"/>
        <v>76.192799371519627</v>
      </c>
      <c r="I63" s="13">
        <f t="shared" si="17"/>
        <v>75.979618623994767</v>
      </c>
      <c r="J63" s="13">
        <f t="shared" si="17"/>
        <v>75.810184912253135</v>
      </c>
      <c r="K63" s="13">
        <f t="shared" si="17"/>
        <v>75.634514419885491</v>
      </c>
      <c r="L63" s="13">
        <f t="shared" si="17"/>
        <v>75.503859116766577</v>
      </c>
      <c r="M63" s="13">
        <f t="shared" si="17"/>
        <v>75.370008552958495</v>
      </c>
      <c r="N63" s="13">
        <f t="shared" si="17"/>
        <v>75.242902949415736</v>
      </c>
      <c r="O63" s="13">
        <f t="shared" si="17"/>
        <v>75.125894151874618</v>
      </c>
      <c r="P63" s="13">
        <f t="shared" si="17"/>
        <v>75.000907045179673</v>
      </c>
      <c r="Q63" s="13">
        <f t="shared" si="17"/>
        <v>74.899928760512992</v>
      </c>
      <c r="R63" s="13">
        <f t="shared" si="17"/>
        <v>74.80391357766041</v>
      </c>
      <c r="S63" s="13">
        <f t="shared" si="17"/>
        <v>74.719078413730216</v>
      </c>
      <c r="T63" s="13">
        <f t="shared" si="17"/>
        <v>74.632236932513706</v>
      </c>
      <c r="U63" s="13">
        <f t="shared" si="17"/>
        <v>74.563323595015547</v>
      </c>
      <c r="V63" s="13">
        <f t="shared" si="17"/>
        <v>74.490241098424207</v>
      </c>
      <c r="W63" s="13">
        <f t="shared" si="17"/>
        <v>74.429665164307778</v>
      </c>
      <c r="X63" s="13">
        <f t="shared" si="17"/>
        <v>74.376007547140205</v>
      </c>
      <c r="Y63" s="13">
        <f t="shared" si="17"/>
        <v>74.331326177475162</v>
      </c>
      <c r="Z63" s="13">
        <f t="shared" si="17"/>
        <v>74.290750468028236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24-Month Projections</vt:lpstr>
      <vt:lpstr>Annual Summary</vt:lpstr>
      <vt:lpstr>Scenario Notes</vt:lpstr>
      <vt:lpstr>Per-Charm Costs</vt:lpstr>
      <vt:lpstr>Revenue Recognition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Todd VanNurden</cp:lastModifiedBy>
  <dcterms:created xsi:type="dcterms:W3CDTF">2026-02-14T01:30:50Z</dcterms:created>
  <dcterms:modified xsi:type="dcterms:W3CDTF">2026-03-05T23:49:37Z</dcterms:modified>
</cp:coreProperties>
</file>